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_rels/chart6.xml.rels" ContentType="application/vnd.openxmlformats-package.relationships+xml"/>
  <Override PartName="/xl/charts/_rels/chart5.xml.rels" ContentType="application/vnd.openxmlformats-package.relationship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xl/drawings/drawing4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4"/>
  </bookViews>
  <sheets>
    <sheet name="biblio hydraulique" sheetId="1" state="hidden" r:id="rId3"/>
    <sheet name="Rhone18.846" sheetId="2" state="visible" r:id="rId4"/>
    <sheet name="Rhone18.947" sheetId="3" state="visible" r:id="rId5"/>
    <sheet name="Granulométrie" sheetId="4" state="visible" r:id="rId6"/>
    <sheet name="Shields" sheetId="5" state="visible" r:id="rId7"/>
  </sheets>
  <definedNames>
    <definedName function="false" hidden="false" name="H" vbProcedure="false">#REF!</definedName>
    <definedName function="false" hidden="false" name="ks" vbProcedure="false">#REF!</definedName>
    <definedName function="false" hidden="false" name="Long" vbProcedure="false">#REF!</definedName>
    <definedName function="false" hidden="false" name="XZ_106" vbProcedure="false">#REF!</definedName>
    <definedName function="false" hidden="false" name="XZ_107" vbProcedure="false">#REF!</definedName>
    <definedName function="false" hidden="false" name="_xlnm.Databas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<sst xmlns="http://schemas.openxmlformats.org/spreadsheetml/2006/main" count="36" uniqueCount="30">
  <si>
    <t xml:space="preserve">Coordonnée-Y</t>
  </si>
  <si>
    <t xml:space="preserve">Coordonnée-X</t>
  </si>
  <si>
    <r>
      <rPr>
        <b val="true"/>
        <sz val="10"/>
        <rFont val="Arial"/>
        <family val="2"/>
        <charset val="1"/>
      </rPr>
      <t xml:space="preserve">Altitude </t>
    </r>
    <r>
      <rPr>
        <sz val="10"/>
        <rFont val="Arial"/>
        <family val="2"/>
        <charset val="1"/>
      </rPr>
      <t xml:space="preserve">[m s.m.]</t>
    </r>
  </si>
  <si>
    <r>
      <rPr>
        <b val="true"/>
        <sz val="10"/>
        <rFont val="Arial"/>
        <family val="2"/>
        <charset val="1"/>
      </rPr>
      <t xml:space="preserve">Dist. entre points </t>
    </r>
    <r>
      <rPr>
        <sz val="10"/>
        <rFont val="Arial"/>
        <family val="2"/>
        <charset val="1"/>
      </rPr>
      <t xml:space="preserve">[m]</t>
    </r>
  </si>
  <si>
    <r>
      <rPr>
        <b val="true"/>
        <sz val="10"/>
        <rFont val="Arial"/>
        <family val="2"/>
        <charset val="1"/>
      </rPr>
      <t xml:space="preserve">Dist. cumulée </t>
    </r>
    <r>
      <rPr>
        <sz val="10"/>
        <rFont val="Arial"/>
        <family val="2"/>
        <charset val="1"/>
      </rPr>
      <t xml:space="preserve">[m]</t>
    </r>
  </si>
  <si>
    <r>
      <rPr>
        <b val="true"/>
        <sz val="10"/>
        <rFont val="Arial"/>
        <family val="2"/>
        <charset val="1"/>
      </rPr>
      <t xml:space="preserve">Tamisats </t>
    </r>
    <r>
      <rPr>
        <sz val="10"/>
        <rFont val="Arial"/>
        <family val="2"/>
        <charset val="1"/>
      </rPr>
      <t xml:space="preserve">[%]</t>
    </r>
  </si>
  <si>
    <r>
      <rPr>
        <b val="true"/>
        <sz val="10"/>
        <rFont val="Arial"/>
        <family val="2"/>
        <charset val="1"/>
      </rPr>
      <t xml:space="preserve">Diamètre des grains</t>
    </r>
    <r>
      <rPr>
        <sz val="10"/>
        <rFont val="Arial"/>
        <family val="2"/>
        <charset val="1"/>
      </rPr>
      <t xml:space="preserve"> [cm]</t>
    </r>
  </si>
  <si>
    <r>
      <rPr>
        <b val="true"/>
        <sz val="10"/>
        <rFont val="Arial"/>
        <family val="2"/>
        <charset val="1"/>
      </rPr>
      <t xml:space="preserve">Diamètre charactéristique </t>
    </r>
    <r>
      <rPr>
        <sz val="10"/>
        <rFont val="Arial"/>
        <family val="2"/>
        <charset val="1"/>
      </rPr>
      <t xml:space="preserve">D [m]</t>
    </r>
  </si>
  <si>
    <r>
      <rPr>
        <sz val="10"/>
        <rFont val="Arial"/>
        <family val="2"/>
        <charset val="1"/>
      </rPr>
      <t xml:space="preserve">Ξ</t>
    </r>
    <r>
      <rPr>
        <vertAlign val="superscript"/>
        <sz val="10"/>
        <rFont val="Arial"/>
        <family val="2"/>
        <charset val="1"/>
      </rPr>
      <t xml:space="preserve">1</t>
    </r>
  </si>
  <si>
    <r>
      <rPr>
        <b val="true"/>
        <sz val="10"/>
        <rFont val="Arial"/>
        <family val="2"/>
        <charset val="1"/>
      </rPr>
      <t xml:space="preserve">Cisaillement adimensionnel</t>
    </r>
    <r>
      <rPr>
        <sz val="10"/>
        <rFont val="Arial"/>
        <family val="2"/>
        <charset val="1"/>
      </rPr>
      <t xml:space="preserve"> </t>
    </r>
    <r>
      <rPr>
        <b val="true"/>
        <sz val="10"/>
        <rFont val="Arial"/>
        <family val="2"/>
        <charset val="1"/>
      </rPr>
      <t xml:space="preserve">critique</t>
    </r>
    <r>
      <rPr>
        <sz val="10"/>
        <rFont val="Arial"/>
        <family val="2"/>
        <charset val="1"/>
      </rPr>
      <t xml:space="preserve"> Y</t>
    </r>
    <r>
      <rPr>
        <vertAlign val="subscript"/>
        <sz val="10"/>
        <rFont val="Arial"/>
        <family val="2"/>
        <charset val="1"/>
      </rPr>
      <t xml:space="preserve">cr</t>
    </r>
  </si>
  <si>
    <r>
      <rPr>
        <b val="true"/>
        <sz val="10"/>
        <rFont val="Arial"/>
        <family val="2"/>
        <charset val="1"/>
      </rPr>
      <t xml:space="preserve">Nombre de Reynolds du grain critique</t>
    </r>
    <r>
      <rPr>
        <sz val="10"/>
        <rFont val="Arial"/>
        <family val="2"/>
        <charset val="1"/>
      </rPr>
      <t xml:space="preserve"> Xcr</t>
    </r>
  </si>
  <si>
    <t xml:space="preserve">Diamètre adimensionnel</t>
  </si>
  <si>
    <r>
      <rPr>
        <b val="true"/>
        <sz val="10"/>
        <rFont val="Arial"/>
        <family val="2"/>
        <charset val="1"/>
      </rPr>
      <t xml:space="preserve">Cisaillement critique selon van Rijn 1984</t>
    </r>
    <r>
      <rPr>
        <vertAlign val="superscript"/>
        <sz val="10"/>
        <rFont val="Arial"/>
        <family val="2"/>
        <charset val="1"/>
      </rPr>
      <t xml:space="preserve">2</t>
    </r>
  </si>
  <si>
    <t xml:space="preserve">Description</t>
  </si>
  <si>
    <t xml:space="preserve">Symbole</t>
  </si>
  <si>
    <t xml:space="preserve">Valeur</t>
  </si>
  <si>
    <t xml:space="preserve">Unité</t>
  </si>
  <si>
    <t xml:space="preserve">Masse volumique des sédiments</t>
  </si>
  <si>
    <r>
      <rPr>
        <sz val="10"/>
        <rFont val="Arial"/>
        <family val="2"/>
        <charset val="1"/>
      </rPr>
      <t xml:space="preserve">ρ</t>
    </r>
    <r>
      <rPr>
        <vertAlign val="subscript"/>
        <sz val="10"/>
        <rFont val="Arial"/>
        <family val="2"/>
        <charset val="1"/>
      </rPr>
      <t xml:space="preserve">s</t>
    </r>
  </si>
  <si>
    <r>
      <rPr>
        <sz val="10"/>
        <rFont val="Arial"/>
        <family val="2"/>
        <charset val="1"/>
      </rPr>
      <t xml:space="preserve">kg/m</t>
    </r>
    <r>
      <rPr>
        <vertAlign val="superscript"/>
        <sz val="10"/>
        <rFont val="Arial"/>
        <family val="2"/>
        <charset val="1"/>
      </rPr>
      <t xml:space="preserve">3</t>
    </r>
  </si>
  <si>
    <t xml:space="preserve">Masse volumique de l'eau</t>
  </si>
  <si>
    <t xml:space="preserve">ρ</t>
  </si>
  <si>
    <t xml:space="preserve">Accélération de la pesanteur </t>
  </si>
  <si>
    <t xml:space="preserve">g</t>
  </si>
  <si>
    <r>
      <rPr>
        <sz val="10"/>
        <rFont val="Arial"/>
        <family val="2"/>
        <charset val="1"/>
      </rPr>
      <t xml:space="preserve">m/s</t>
    </r>
    <r>
      <rPr>
        <vertAlign val="superscript"/>
        <sz val="10"/>
        <rFont val="Arial"/>
        <family val="2"/>
        <charset val="1"/>
      </rPr>
      <t xml:space="preserve">2</t>
    </r>
  </si>
  <si>
    <t xml:space="preserve">Viscosité cinématique de l'eau à 10 °C</t>
  </si>
  <si>
    <t xml:space="preserve">ν</t>
  </si>
  <si>
    <r>
      <rPr>
        <sz val="10"/>
        <rFont val="Arial"/>
        <family val="2"/>
        <charset val="1"/>
      </rPr>
      <t xml:space="preserve">m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/s</t>
    </r>
  </si>
  <si>
    <r>
      <rPr>
        <vertAlign val="superscript"/>
        <sz val="10"/>
        <rFont val="Arial"/>
        <family val="2"/>
        <charset val="1"/>
      </rPr>
      <t xml:space="preserve">1</t>
    </r>
    <r>
      <rPr>
        <sz val="10"/>
        <rFont val="Arial"/>
        <family val="2"/>
        <charset val="1"/>
      </rPr>
      <t xml:space="preserve">Voir la définition de Ξ dans da Silva, A. M. F., &amp; Yalin, M. S. (2017). Fluvial Processes (Second). CRC Press/Balkema.</t>
    </r>
  </si>
  <si>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Voir la définition de la fonction par morceau dans van Rijn, L. C. (1984). Sediment Transport, Part I: Bed Load Transport. Journal of Hydraulic Engineering, 110(10), 1431–1456.</t>
    </r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</si>
</sst>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_ * #,##0.00_ ;_ * \-#,##0.00_ ;_ * \-??_ ;_ @_ "/>
    <numFmt numFmtId="166" formatCode="0%"/>
    <numFmt numFmtId="167" formatCode="00"/>
    <numFmt numFmtId="168" formatCode="0"/>
    <numFmt numFmtId="169" formatCode="0.000"/>
    <numFmt numFmtId="170" formatCode="0.00"/>
    <numFmt numFmtId="171" formatCode="&quot;TRUE&quot;;&quot;TRUE&quot;;&quot;FALSE&quot;"/>
    <numFmt numFmtId="172" formatCode="0.0000"/>
    <numFmt numFmtId="173" formatCode="0.000E+00"/>
  </numFmts>
  <fonts count="2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 val="true"/>
      <sz val="10"/>
      <name val="Arial"/>
      <family val="2"/>
      <charset val="1"/>
    </font>
    <font>
      <sz val="9"/>
      <color rgb="FF424242"/>
      <name val="Calibri"/>
      <family val="2"/>
    </font>
    <font>
      <b val="true"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595959"/>
      <name val="Calibri"/>
      <family val="2"/>
    </font>
    <font>
      <vertAlign val="superscript"/>
      <sz val="10"/>
      <name val="Arial"/>
      <family val="2"/>
      <charset val="1"/>
    </font>
    <font>
      <vertAlign val="subscript"/>
      <sz val="10"/>
      <name val="Arial"/>
      <family val="2"/>
      <charset val="1"/>
    </font>
    <font>
      <sz val="12"/>
      <color rgb="FF000000"/>
      <name val="Times New Roman"/>
      <family val="1"/>
      <charset val="1"/>
    </font>
    <font>
      <sz val="20"/>
      <name val="Times New Roman"/>
      <family val="1"/>
    </font>
    <font>
      <sz val="14.4"/>
      <color rgb="FF000000"/>
      <name val="Times New Roman"/>
      <family val="2"/>
    </font>
    <font>
      <sz val="12"/>
      <color rgb="FF000000"/>
      <name val="Times New Roman"/>
      <family val="2"/>
    </font>
    <font>
      <sz val="11"/>
      <color rgb="FF000000"/>
      <name val="Times New Roman"/>
      <family val="2"/>
    </font>
    <font>
      <sz val="11"/>
      <color rgb="FF000000"/>
      <name val="Cambria Math"/>
      <family val="1"/>
    </font>
  </fonts>
  <fills count="3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7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7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7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7" fillId="0" borderId="0" xfId="21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21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0" fontId="4" fillId="0" borderId="0" xfId="21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4" fillId="0" borderId="0" xfId="21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4" fillId="0" borderId="0" xfId="21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24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center" textRotation="0" wrapText="false" indent="0" shrinkToFit="false" readingOrder="1"/>
      <protection locked="true" hidden="false"/>
    </xf>
    <xf numFmtId="164" fontId="12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mma 2" xfId="20"/>
    <cellStyle name="Normal 2" xfId="21"/>
    <cellStyle name="Normal 2 2" xfId="22"/>
    <cellStyle name="Normal 3" xfId="23"/>
    <cellStyle name="Normal 4" xfId="24"/>
    <cellStyle name="Percent 2" xfId="25"/>
    <cellStyle name="Standard 2" xfId="26"/>
    <cellStyle name="Standard 2 2" xfId="27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42424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_rels/chart5.xml.rels><?xml version="1.0" encoding="UTF-8"?>
<Relationships xmlns="http://schemas.openxmlformats.org/package/2006/relationships"><Relationship Id="rId1" Type="http://schemas.openxmlformats.org/officeDocument/2006/relationships/chartUserShapes" Target="../drawings/drawing3.xml"/>
</Relationships>
</file>

<file path=xl/charts/_rels/chart6.xml.rels><?xml version="1.0" encoding="UTF-8"?>
<Relationships xmlns="http://schemas.openxmlformats.org/package/2006/relationships"><Relationship Id="rId1" Type="http://schemas.openxmlformats.org/officeDocument/2006/relationships/chartUserShapes" Target="../drawings/drawing4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884330372478775"/>
          <c:y val="0.0468982630272953"/>
          <c:w val="0.88388869804191"/>
          <c:h val="0.810794044665012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000000"/>
            </a:solidFill>
            <a:ln cap="rnd" w="25560">
              <a:solidFill>
                <a:srgbClr val="000000"/>
              </a:solidFill>
              <a:round/>
            </a:ln>
          </c:spPr>
          <c:marker>
            <c:symbol val="circle"/>
            <c:size val="5"/>
            <c:spPr>
              <a:solidFill>
                <a:srgbClr val="0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Granulométrie!$B$2:$B$10</c:f>
              <c:numCache>
                <c:formatCode>General</c:formatCode>
                <c:ptCount val="9"/>
                <c:pt idx="0">
                  <c:v>0.15</c:v>
                </c:pt>
                <c:pt idx="1">
                  <c:v>0.45</c:v>
                </c:pt>
                <c:pt idx="2">
                  <c:v>1.2</c:v>
                </c:pt>
                <c:pt idx="3">
                  <c:v>2.4</c:v>
                </c:pt>
                <c:pt idx="4">
                  <c:v>3.6</c:v>
                </c:pt>
                <c:pt idx="5">
                  <c:v>4.8</c:v>
                </c:pt>
                <c:pt idx="6">
                  <c:v>7.2</c:v>
                </c:pt>
                <c:pt idx="7">
                  <c:v>10</c:v>
                </c:pt>
                <c:pt idx="8">
                  <c:v>15</c:v>
                </c:pt>
              </c:numCache>
            </c:numRef>
          </c:xVal>
          <c:yVal>
            <c:numRef>
              <c:f>Granulométrie!$A$2:$A$10</c:f>
              <c:numCache>
                <c:formatCode>General</c:formatCode>
                <c:ptCount val="9"/>
                <c:pt idx="0">
                  <c:v>0</c:v>
                </c:pt>
                <c:pt idx="1">
                  <c:v>16</c:v>
                </c:pt>
                <c:pt idx="2">
                  <c:v>33</c:v>
                </c:pt>
                <c:pt idx="3">
                  <c:v>46.7</c:v>
                </c:pt>
                <c:pt idx="4">
                  <c:v>57.9</c:v>
                </c:pt>
                <c:pt idx="5">
                  <c:v>66.1</c:v>
                </c:pt>
                <c:pt idx="6">
                  <c:v>80.9</c:v>
                </c:pt>
                <c:pt idx="7">
                  <c:v>90</c:v>
                </c:pt>
                <c:pt idx="8">
                  <c:v>100</c:v>
                </c:pt>
              </c:numCache>
            </c:numRef>
          </c:yVal>
          <c:smooth val="0"/>
        </c:ser>
        <c:axId val="95431275"/>
        <c:axId val="63642076"/>
      </c:scatterChart>
      <c:valAx>
        <c:axId val="95431275"/>
        <c:scaling>
          <c:logBase val="10"/>
          <c:orientation val="minMax"/>
          <c:max val="50"/>
        </c:scaling>
        <c:delete val="0"/>
        <c:axPos val="b"/>
        <c:minorGridlines>
          <c:spPr>
            <a:ln w="9360">
              <a:solidFill>
                <a:srgbClr val="80808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1" lang="fr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fr-CH" sz="1000" spc="-1" strike="noStrike">
                    <a:solidFill>
                      <a:srgbClr val="000000"/>
                    </a:solidFill>
                    <a:latin typeface="Calibri"/>
                  </a:rPr>
                  <a:t>Diamètre des grains [cm]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424242"/>
                </a:solidFill>
                <a:latin typeface="Calibri"/>
                <a:ea typeface="Calibri"/>
              </a:defRPr>
            </a:pPr>
          </a:p>
        </c:txPr>
        <c:crossAx val="63642076"/>
        <c:crosses val="autoZero"/>
        <c:crossBetween val="midCat"/>
      </c:valAx>
      <c:valAx>
        <c:axId val="63642076"/>
        <c:scaling>
          <c:orientation val="minMax"/>
          <c:max val="100"/>
        </c:scaling>
        <c:delete val="0"/>
        <c:axPos val="l"/>
        <c:majorGridlines>
          <c:spPr>
            <a:ln w="9360">
              <a:solidFill>
                <a:srgbClr val="80808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lang="fr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fr-CH" sz="1000" spc="-1" strike="noStrike">
                    <a:solidFill>
                      <a:srgbClr val="000000"/>
                    </a:solidFill>
                    <a:latin typeface="Calibri"/>
                  </a:rPr>
                  <a:t>Tamisats [%]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9360">
            <a:solidFill>
              <a:srgbClr val="80808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431275"/>
        <c:crosses val="autoZero"/>
        <c:crossBetween val="midCat"/>
      </c:valAx>
      <c:spPr>
        <a:noFill/>
        <a:ln w="12600">
          <a:solidFill>
            <a:srgbClr val="000000"/>
          </a:solidFill>
          <a:round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fr-CH" sz="144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  <a:r>
              <a:rPr b="0" lang="fr-CH" sz="1440" spc="-1" strike="noStrike">
                <a:solidFill>
                  <a:srgbClr val="000000"/>
                </a:solidFill>
                <a:latin typeface="Times New Roman"/>
                <a:ea typeface="Times New Roman"/>
              </a:rPr>
              <a:t>Diagramme de Shields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9218825951448"/>
          <c:y val="0.0686089238845144"/>
          <c:w val="0.873359448717582"/>
          <c:h val="0.796902887139108"/>
        </c:manualLayout>
      </c:layout>
      <c:scatterChart>
        <c:scatterStyle val="line"/>
        <c:varyColors val="0"/>
        <c:ser>
          <c:idx val="0"/>
          <c:order val="0"/>
          <c:tx>
            <c:strRef>
              <c:f>"Shields θcr"</c:f>
              <c:strCache>
                <c:ptCount val="1"/>
                <c:pt idx="0">
                  <c:v>Shields θcr</c:v>
                </c:pt>
              </c:strCache>
            </c:strRef>
          </c:tx>
          <c:spPr>
            <a:solidFill>
              <a:srgbClr val="0d0d0d"/>
            </a:solidFill>
            <a:ln w="44280">
              <a:solidFill>
                <a:srgbClr val="0d0d0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Shields!$D$2:$D$177</c:f>
              <c:numCache>
                <c:formatCode>General</c:formatCode>
                <c:ptCount val="176"/>
                <c:pt idx="0">
                  <c:v>0.951322007174985</c:v>
                </c:pt>
                <c:pt idx="1">
                  <c:v>1.5884943361038</c:v>
                </c:pt>
                <c:pt idx="2">
                  <c:v>2.25315521936742</c:v>
                </c:pt>
                <c:pt idx="3">
                  <c:v>2.91688443812951</c:v>
                </c:pt>
                <c:pt idx="4">
                  <c:v>3.56585356679952</c:v>
                </c:pt>
                <c:pt idx="5">
                  <c:v>4.2004724735092</c:v>
                </c:pt>
                <c:pt idx="6">
                  <c:v>4.83386938631057</c:v>
                </c:pt>
                <c:pt idx="7">
                  <c:v>5.48832397451721</c:v>
                </c:pt>
                <c:pt idx="8">
                  <c:v>6.18993589393337</c:v>
                </c:pt>
                <c:pt idx="9">
                  <c:v>6.96282192289962</c:v>
                </c:pt>
                <c:pt idx="10">
                  <c:v>7.82460613313023</c:v>
                </c:pt>
                <c:pt idx="11">
                  <c:v>8.78443850549862</c:v>
                </c:pt>
                <c:pt idx="12">
                  <c:v>9.84356364650676</c:v>
                </c:pt>
                <c:pt idx="13">
                  <c:v>10.9974712774419</c:v>
                </c:pt>
                <c:pt idx="14">
                  <c:v>12.2384454786368</c:v>
                </c:pt>
                <c:pt idx="15">
                  <c:v>13.5577044780626</c:v>
                </c:pt>
                <c:pt idx="16">
                  <c:v>14.9468219543022</c:v>
                </c:pt>
                <c:pt idx="17">
                  <c:v>16.3984639094684</c:v>
                </c:pt>
                <c:pt idx="18">
                  <c:v>17.9066230096774</c:v>
                </c:pt>
                <c:pt idx="19">
                  <c:v>19.4665510850033</c:v>
                </c:pt>
                <c:pt idx="20">
                  <c:v>21.0745504791895</c:v>
                </c:pt>
                <c:pt idx="21">
                  <c:v>22.7277302764817</c:v>
                </c:pt>
                <c:pt idx="22">
                  <c:v>24.4237852445983</c:v>
                </c:pt>
                <c:pt idx="23">
                  <c:v>26.1608208284687</c:v>
                </c:pt>
                <c:pt idx="24">
                  <c:v>27.9372267611465</c:v>
                </c:pt>
                <c:pt idx="25">
                  <c:v>29.7515918118498</c:v>
                </c:pt>
                <c:pt idx="26">
                  <c:v>31.6026491309911</c:v>
                </c:pt>
                <c:pt idx="27">
                  <c:v>33.4892423454247</c:v>
                </c:pt>
                <c:pt idx="28">
                  <c:v>35.410304737206</c:v>
                </c:pt>
                <c:pt idx="29">
                  <c:v>37.3648461955421</c:v>
                </c:pt>
                <c:pt idx="30">
                  <c:v>39.3519445749749</c:v>
                </c:pt>
                <c:pt idx="31">
                  <c:v>41.3707394747152</c:v>
                </c:pt>
                <c:pt idx="32">
                  <c:v>43.4204273394833</c:v>
                </c:pt>
                <c:pt idx="33">
                  <c:v>45.5002573045688</c:v>
                </c:pt>
                <c:pt idx="34">
                  <c:v>47.6095274950897</c:v>
                </c:pt>
                <c:pt idx="35">
                  <c:v>49.7475816379183</c:v>
                </c:pt>
                <c:pt idx="36">
                  <c:v>51.9138059173266</c:v>
                </c:pt>
                <c:pt idx="37">
                  <c:v>54.1076260391686</c:v>
                </c:pt>
                <c:pt idx="38">
                  <c:v>56.3285044834705</c:v>
                </c:pt>
                <c:pt idx="39">
                  <c:v>58.5759379318414</c:v>
                </c:pt>
                <c:pt idx="40">
                  <c:v>60.8494548589619</c:v>
                </c:pt>
                <c:pt idx="41">
                  <c:v>63.1486132787371</c:v>
                </c:pt>
                <c:pt idx="42">
                  <c:v>65.4729986364214</c:v>
                </c:pt>
                <c:pt idx="43">
                  <c:v>67.822221838516</c:v>
                </c:pt>
                <c:pt idx="44">
                  <c:v>70.1959174126405</c:v>
                </c:pt>
                <c:pt idx="45">
                  <c:v>72.5937417899457</c:v>
                </c:pt>
                <c:pt idx="46">
                  <c:v>75.0153717029774</c:v>
                </c:pt>
                <c:pt idx="47">
                  <c:v>77.460502692238</c:v>
                </c:pt>
                <c:pt idx="48">
                  <c:v>79.9288477150086</c:v>
                </c:pt>
                <c:pt idx="49">
                  <c:v>82.4201358503087</c:v>
                </c:pt>
                <c:pt idx="50">
                  <c:v>84.9341110941704</c:v>
                </c:pt>
                <c:pt idx="51">
                  <c:v>87.470531239695</c:v>
                </c:pt>
                <c:pt idx="52">
                  <c:v>90.0291668366372</c:v>
                </c:pt>
                <c:pt idx="53">
                  <c:v>92.6098002255388</c:v>
                </c:pt>
                <c:pt idx="54">
                  <c:v>95.2122246416876</c:v>
                </c:pt>
                <c:pt idx="55">
                  <c:v>97.8362433844329</c:v>
                </c:pt>
                <c:pt idx="56">
                  <c:v>100.481669047627</c:v>
                </c:pt>
                <c:pt idx="57">
                  <c:v>103.148322807194</c:v>
                </c:pt>
                <c:pt idx="58">
                  <c:v>105.836033762055</c:v>
                </c:pt>
                <c:pt idx="59">
                  <c:v>108.544638324832</c:v>
                </c:pt>
                <c:pt idx="60">
                  <c:v>111.273979658994</c:v>
                </c:pt>
                <c:pt idx="61">
                  <c:v>114.023907159249</c:v>
                </c:pt>
                <c:pt idx="62">
                  <c:v>116.794275972234</c:v>
                </c:pt>
                <c:pt idx="63">
                  <c:v>119.584946554671</c:v>
                </c:pt>
                <c:pt idx="64">
                  <c:v>122.395784266376</c:v>
                </c:pt>
                <c:pt idx="65">
                  <c:v>125.226658995635</c:v>
                </c:pt>
                <c:pt idx="66">
                  <c:v>128.077444814635</c:v>
                </c:pt>
                <c:pt idx="67">
                  <c:v>130.948019662762</c:v>
                </c:pt>
                <c:pt idx="68">
                  <c:v>133.838265055739</c:v>
                </c:pt>
                <c:pt idx="69">
                  <c:v>136.748065818698</c:v>
                </c:pt>
                <c:pt idx="70">
                  <c:v>139.67730984138</c:v>
                </c:pt>
                <c:pt idx="71">
                  <c:v>142.625887853829</c:v>
                </c:pt>
                <c:pt idx="72">
                  <c:v>145.593693220993</c:v>
                </c:pt>
                <c:pt idx="73">
                  <c:v>148.580621754797</c:v>
                </c:pt>
                <c:pt idx="74">
                  <c:v>151.586571542324</c:v>
                </c:pt>
                <c:pt idx="75">
                  <c:v>154.611442788852</c:v>
                </c:pt>
                <c:pt idx="76">
                  <c:v>157.65513767456</c:v>
                </c:pt>
                <c:pt idx="77">
                  <c:v>160.717560223821</c:v>
                </c:pt>
                <c:pt idx="78">
                  <c:v>163.798616186062</c:v>
                </c:pt>
                <c:pt idx="79">
                  <c:v>166.898212927254</c:v>
                </c:pt>
                <c:pt idx="80">
                  <c:v>170.016259331141</c:v>
                </c:pt>
                <c:pt idx="81">
                  <c:v>173.152665709423</c:v>
                </c:pt>
                <c:pt idx="82">
                  <c:v>176.307343720114</c:v>
                </c:pt>
                <c:pt idx="83">
                  <c:v>179.480206293404</c:v>
                </c:pt>
                <c:pt idx="84">
                  <c:v>182.671167564362</c:v>
                </c:pt>
                <c:pt idx="85">
                  <c:v>185.880142811897</c:v>
                </c:pt>
                <c:pt idx="86">
                  <c:v>189.107048403427</c:v>
                </c:pt>
                <c:pt idx="87">
                  <c:v>192.351801744744</c:v>
                </c:pt>
                <c:pt idx="88">
                  <c:v>195.614321234612</c:v>
                </c:pt>
                <c:pt idx="89">
                  <c:v>198.894526223673</c:v>
                </c:pt>
                <c:pt idx="90">
                  <c:v>202.192336977253</c:v>
                </c:pt>
                <c:pt idx="91">
                  <c:v>205.507674641717</c:v>
                </c:pt>
                <c:pt idx="92">
                  <c:v>208.840461214028</c:v>
                </c:pt>
                <c:pt idx="93">
                  <c:v>212.190619514214</c:v>
                </c:pt>
                <c:pt idx="94">
                  <c:v>215.558073160456</c:v>
                </c:pt>
                <c:pt idx="95">
                  <c:v>218.942746546533</c:v>
                </c:pt>
                <c:pt idx="96">
                  <c:v>222.344564821408</c:v>
                </c:pt>
                <c:pt idx="97">
                  <c:v>225.763453870718</c:v>
                </c:pt>
                <c:pt idx="98">
                  <c:v>229.199340299984</c:v>
                </c:pt>
                <c:pt idx="99">
                  <c:v>232.652151419358</c:v>
                </c:pt>
                <c:pt idx="100">
                  <c:v>236.12181522975</c:v>
                </c:pt>
                <c:pt idx="101">
                  <c:v>239.60826041017</c:v>
                </c:pt>
                <c:pt idx="102">
                  <c:v>243.111416306175</c:v>
                </c:pt>
                <c:pt idx="103">
                  <c:v>246.631212919275</c:v>
                </c:pt>
                <c:pt idx="104">
                  <c:v>250.167580897197</c:v>
                </c:pt>
                <c:pt idx="105">
                  <c:v>253.720451524915</c:v>
                </c:pt>
                <c:pt idx="106">
                  <c:v>257.28975671634</c:v>
                </c:pt>
                <c:pt idx="107">
                  <c:v>260.875429006596</c:v>
                </c:pt>
                <c:pt idx="108">
                  <c:v>264.47740154481</c:v>
                </c:pt>
                <c:pt idx="109">
                  <c:v>268.095608087344</c:v>
                </c:pt>
                <c:pt idx="110">
                  <c:v>271.729982991422</c:v>
                </c:pt>
                <c:pt idx="111">
                  <c:v>275.380461209079</c:v>
                </c:pt>
                <c:pt idx="112">
                  <c:v>279.046978281403</c:v>
                </c:pt>
                <c:pt idx="113">
                  <c:v>282.729470333019</c:v>
                </c:pt>
                <c:pt idx="114">
                  <c:v>286.427874066783</c:v>
                </c:pt>
                <c:pt idx="115">
                  <c:v>290.142126758641</c:v>
                </c:pt>
                <c:pt idx="116">
                  <c:v>293.872166252641</c:v>
                </c:pt>
                <c:pt idx="117">
                  <c:v>297.61793095606</c:v>
                </c:pt>
                <c:pt idx="118">
                  <c:v>301.379359834623</c:v>
                </c:pt>
                <c:pt idx="119">
                  <c:v>305.156392407806</c:v>
                </c:pt>
                <c:pt idx="120">
                  <c:v>308.948968744194</c:v>
                </c:pt>
                <c:pt idx="121">
                  <c:v>312.757029456882</c:v>
                </c:pt>
                <c:pt idx="122">
                  <c:v>316.580515698912</c:v>
                </c:pt>
                <c:pt idx="123">
                  <c:v>320.41936915873</c:v>
                </c:pt>
                <c:pt idx="124">
                  <c:v>324.273532055656</c:v>
                </c:pt>
                <c:pt idx="125">
                  <c:v>328.142947135359</c:v>
                </c:pt>
                <c:pt idx="126">
                  <c:v>332.027557665331</c:v>
                </c:pt>
                <c:pt idx="127">
                  <c:v>335.927307430358</c:v>
                </c:pt>
                <c:pt idx="128">
                  <c:v>339.842140727977</c:v>
                </c:pt>
                <c:pt idx="129">
                  <c:v>343.772002363929</c:v>
                </c:pt>
                <c:pt idx="130">
                  <c:v>347.716837647586</c:v>
                </c:pt>
                <c:pt idx="131">
                  <c:v>351.676592387376</c:v>
                </c:pt>
                <c:pt idx="132">
                  <c:v>355.65121288618</c:v>
                </c:pt>
                <c:pt idx="133">
                  <c:v>359.640645936725</c:v>
                </c:pt>
                <c:pt idx="134">
                  <c:v>363.64483881695</c:v>
                </c:pt>
                <c:pt idx="135">
                  <c:v>367.663739285367</c:v>
                </c:pt>
                <c:pt idx="136">
                  <c:v>371.697295576399</c:v>
                </c:pt>
                <c:pt idx="137">
                  <c:v>375.745456395715</c:v>
                </c:pt>
                <c:pt idx="138">
                  <c:v>379.808170915549</c:v>
                </c:pt>
                <c:pt idx="139">
                  <c:v>383.885388770012</c:v>
                </c:pt>
                <c:pt idx="140">
                  <c:v>387.977060050397</c:v>
                </c:pt>
                <c:pt idx="141">
                  <c:v>392.08313530048</c:v>
                </c:pt>
                <c:pt idx="142">
                  <c:v>396.203565511817</c:v>
                </c:pt>
                <c:pt idx="143">
                  <c:v>400.338302119046</c:v>
                </c:pt>
                <c:pt idx="144">
                  <c:v>404.487296995187</c:v>
                </c:pt>
                <c:pt idx="145">
                  <c:v>408.650502446946</c:v>
                </c:pt>
                <c:pt idx="146">
                  <c:v>412.82787121003</c:v>
                </c:pt>
                <c:pt idx="147">
                  <c:v>417.01935644447</c:v>
                </c:pt>
                <c:pt idx="148">
                  <c:v>421.224911729953</c:v>
                </c:pt>
                <c:pt idx="149">
                  <c:v>425.444491061173</c:v>
                </c:pt>
                <c:pt idx="150">
                  <c:v>429.678048843192</c:v>
                </c:pt>
                <c:pt idx="151">
                  <c:v>433.925539886828</c:v>
                </c:pt>
                <c:pt idx="152">
                  <c:v>438.186919404053</c:v>
                </c:pt>
                <c:pt idx="153">
                  <c:v>442.462143003419</c:v>
                </c:pt>
                <c:pt idx="154">
                  <c:v>446.751166685511</c:v>
                </c:pt>
                <c:pt idx="155">
                  <c:v>451.053946838419</c:v>
                </c:pt>
                <c:pt idx="156">
                  <c:v>455.370440233243</c:v>
                </c:pt>
                <c:pt idx="157">
                  <c:v>459.700604019625</c:v>
                </c:pt>
                <c:pt idx="158">
                  <c:v>464.044395721314</c:v>
                </c:pt>
                <c:pt idx="159">
                  <c:v>468.401773231761</c:v>
                </c:pt>
                <c:pt idx="160">
                  <c:v>472.772694809746</c:v>
                </c:pt>
                <c:pt idx="161">
                  <c:v>477.15711907505</c:v>
                </c:pt>
                <c:pt idx="162">
                  <c:v>481.555005004149</c:v>
                </c:pt>
                <c:pt idx="163">
                  <c:v>485.966311925956</c:v>
                </c:pt>
                <c:pt idx="164">
                  <c:v>490.390999517596</c:v>
                </c:pt>
                <c:pt idx="165">
                  <c:v>494.829027800223</c:v>
                </c:pt>
                <c:pt idx="166">
                  <c:v>499.280357134877</c:v>
                </c:pt>
                <c:pt idx="167">
                  <c:v>503.744948218378</c:v>
                </c:pt>
                <c:pt idx="168">
                  <c:v>508.222762079268</c:v>
                </c:pt>
                <c:pt idx="169">
                  <c:v>512.713760073788</c:v>
                </c:pt>
                <c:pt idx="170">
                  <c:v>517.217903881905</c:v>
                </c:pt>
                <c:pt idx="171">
                  <c:v>521.735155503379</c:v>
                </c:pt>
                <c:pt idx="172">
                  <c:v>526.265477253871</c:v>
                </c:pt>
                <c:pt idx="173">
                  <c:v>530.808831761097</c:v>
                </c:pt>
                <c:pt idx="174">
                  <c:v>535.365181961031</c:v>
                </c:pt>
                <c:pt idx="175">
                  <c:v>648525.180746134</c:v>
                </c:pt>
              </c:numCache>
            </c:numRef>
          </c:xVal>
          <c:yVal>
            <c:numRef>
              <c:f>Shields!$C$2:$C$177</c:f>
              <c:numCache>
                <c:formatCode>General</c:formatCode>
                <c:ptCount val="176"/>
                <c:pt idx="0">
                  <c:v>0.0968308878559389</c:v>
                </c:pt>
                <c:pt idx="1">
                  <c:v>0.0799938116487358</c:v>
                </c:pt>
                <c:pt idx="2">
                  <c:v>0.0678970745413059</c:v>
                </c:pt>
                <c:pt idx="3">
                  <c:v>0.058260907871272</c:v>
                </c:pt>
                <c:pt idx="4">
                  <c:v>0.0503874142718225</c:v>
                </c:pt>
                <c:pt idx="5">
                  <c:v>0.0440302326267333</c:v>
                </c:pt>
                <c:pt idx="6">
                  <c:v>0.039063277221977</c:v>
                </c:pt>
                <c:pt idx="7">
                  <c:v>0.0353672070697617</c:v>
                </c:pt>
                <c:pt idx="8">
                  <c:v>0.0327960180300684</c:v>
                </c:pt>
                <c:pt idx="9">
                  <c:v>0.0311775033517052</c:v>
                </c:pt>
                <c:pt idx="10">
                  <c:v>0.0303270416160943</c:v>
                </c:pt>
                <c:pt idx="11">
                  <c:v>0.0300640005662959</c:v>
                </c:pt>
                <c:pt idx="12">
                  <c:v>0.0302252160801501</c:v>
                </c:pt>
                <c:pt idx="13">
                  <c:v>0.0306733146415258</c:v>
                </c:pt>
                <c:pt idx="14">
                  <c:v>0.0312997869100578</c:v>
                </c:pt>
                <c:pt idx="15">
                  <c:v>0.0320239114513871</c:v>
                </c:pt>
                <c:pt idx="16">
                  <c:v>0.0327890641308739</c:v>
                </c:pt>
                <c:pt idx="17">
                  <c:v>0.0335578669489963</c:v>
                </c:pt>
                <c:pt idx="18">
                  <c:v>0.0343072737449413</c:v>
                </c:pt>
                <c:pt idx="19">
                  <c:v>0.0350242591258879</c:v>
                </c:pt>
                <c:pt idx="20">
                  <c:v>0.0357023999877192</c:v>
                </c:pt>
                <c:pt idx="21">
                  <c:v>0.0363393738045389</c:v>
                </c:pt>
                <c:pt idx="22">
                  <c:v>0.0369352492432923</c:v>
                </c:pt>
                <c:pt idx="23">
                  <c:v>0.0374913881412963</c:v>
                </c:pt>
                <c:pt idx="24">
                  <c:v>0.0380097799927317</c:v>
                </c:pt>
                <c:pt idx="25">
                  <c:v>0.0384926610346856</c:v>
                </c:pt>
                <c:pt idx="26">
                  <c:v>0.0389423090229732</c:v>
                </c:pt>
                <c:pt idx="27">
                  <c:v>0.0393609402948653</c:v>
                </c:pt>
                <c:pt idx="28">
                  <c:v>0.0397506631545588</c:v>
                </c:pt>
                <c:pt idx="29">
                  <c:v>0.040113460597294</c:v>
                </c:pt>
                <c:pt idx="30">
                  <c:v>0.0404511874342205</c:v>
                </c:pt>
                <c:pt idx="31">
                  <c:v>0.0407655739920684</c:v>
                </c:pt>
                <c:pt idx="32">
                  <c:v>0.0410582325009352</c:v>
                </c:pt>
                <c:pt idx="33">
                  <c:v>0.0413306643420791</c:v>
                </c:pt>
                <c:pt idx="34">
                  <c:v>0.041584267346384</c:v>
                </c:pt>
                <c:pt idx="35">
                  <c:v>0.0418203428127115</c:v>
                </c:pt>
                <c:pt idx="36">
                  <c:v>0.0420401021287789</c:v>
                </c:pt>
                <c:pt idx="37">
                  <c:v>0.0422446729673096</c:v>
                </c:pt>
                <c:pt idx="38">
                  <c:v>0.0424351050657982</c:v>
                </c:pt>
                <c:pt idx="39">
                  <c:v>0.0426123756109286</c:v>
                </c:pt>
                <c:pt idx="40">
                  <c:v>0.0427773942522261</c:v>
                </c:pt>
                <c:pt idx="41">
                  <c:v>0.0429310077696368</c:v>
                </c:pt>
                <c:pt idx="42">
                  <c:v>0.0430740044186491</c:v>
                </c:pt>
                <c:pt idx="43">
                  <c:v>0.0432071179751455</c:v>
                </c:pt>
                <c:pt idx="44">
                  <c:v>0.0433310315007101</c:v>
                </c:pt>
                <c:pt idx="45">
                  <c:v>0.0434463808477036</c:v>
                </c:pt>
                <c:pt idx="46">
                  <c:v>0.0435537579220883</c:v>
                </c:pt>
                <c:pt idx="47">
                  <c:v>0.0436537137207463</c:v>
                </c:pt>
                <c:pt idx="48">
                  <c:v>0.0437467611588761</c:v>
                </c:pt>
                <c:pt idx="49">
                  <c:v>0.0438333777019757</c:v>
                </c:pt>
                <c:pt idx="50">
                  <c:v>0.0439140078159187</c:v>
                </c:pt>
                <c:pt idx="51">
                  <c:v>0.043989065247696</c:v>
                </c:pt>
                <c:pt idx="52">
                  <c:v>0.0440589351485245</c:v>
                </c:pt>
                <c:pt idx="53">
                  <c:v>0.0441239760502206</c:v>
                </c:pt>
                <c:pt idx="54">
                  <c:v>0.0441845217049773</c:v>
                </c:pt>
                <c:pt idx="55">
                  <c:v>0.0442408827979867</c:v>
                </c:pt>
                <c:pt idx="56">
                  <c:v>0.0442933485416967</c:v>
                </c:pt>
                <c:pt idx="57">
                  <c:v>0.0443421881598812</c:v>
                </c:pt>
                <c:pt idx="58">
                  <c:v>0.0443876522691406</c:v>
                </c:pt>
                <c:pt idx="59">
                  <c:v>0.0444299741649209</c:v>
                </c:pt>
                <c:pt idx="60">
                  <c:v>0.0444693710186505</c:v>
                </c:pt>
                <c:pt idx="61">
                  <c:v>0.0445060449921381</c:v>
                </c:pt>
                <c:pt idx="62">
                  <c:v>0.0445401842749497</c:v>
                </c:pt>
                <c:pt idx="63">
                  <c:v>0.044571964050089</c:v>
                </c:pt>
                <c:pt idx="64">
                  <c:v>0.044601547392934</c:v>
                </c:pt>
                <c:pt idx="65">
                  <c:v>0.044629086108046</c:v>
                </c:pt>
                <c:pt idx="66">
                  <c:v>0.0446547215081425</c:v>
                </c:pt>
                <c:pt idx="67">
                  <c:v>0.0446785851392318</c:v>
                </c:pt>
                <c:pt idx="68">
                  <c:v>0.044700799455631</c:v>
                </c:pt>
                <c:pt idx="69">
                  <c:v>0.0447214784483308</c:v>
                </c:pt>
                <c:pt idx="70">
                  <c:v>0.0447407282299309</c:v>
                </c:pt>
                <c:pt idx="71">
                  <c:v>0.0447586475791481</c:v>
                </c:pt>
                <c:pt idx="72">
                  <c:v>0.044775328447692</c:v>
                </c:pt>
                <c:pt idx="73">
                  <c:v>0.0447908564321074</c:v>
                </c:pt>
                <c:pt idx="74">
                  <c:v>0.0448053112130062</c:v>
                </c:pt>
                <c:pt idx="75">
                  <c:v>0.0448187669639424</c:v>
                </c:pt>
                <c:pt idx="76">
                  <c:v>0.0448312927320271</c:v>
                </c:pt>
                <c:pt idx="77">
                  <c:v>0.0448429527922392</c:v>
                </c:pt>
                <c:pt idx="78">
                  <c:v>0.0448538069772463</c:v>
                </c:pt>
                <c:pt idx="79">
                  <c:v>0.0448639109844321</c:v>
                </c:pt>
                <c:pt idx="80">
                  <c:v>0.0448733166617025</c:v>
                </c:pt>
                <c:pt idx="81">
                  <c:v>0.0448820722735392</c:v>
                </c:pt>
                <c:pt idx="82">
                  <c:v>0.0448902227486653</c:v>
                </c:pt>
                <c:pt idx="83">
                  <c:v>0.0448978099105929</c:v>
                </c:pt>
                <c:pt idx="84">
                  <c:v>0.0449048726922376</c:v>
                </c:pt>
                <c:pt idx="85">
                  <c:v>0.0449114473356993</c:v>
                </c:pt>
                <c:pt idx="86">
                  <c:v>0.0449175675782359</c:v>
                </c:pt>
                <c:pt idx="87">
                  <c:v>0.0449232648253832</c:v>
                </c:pt>
                <c:pt idx="88">
                  <c:v>0.0449285683121101</c:v>
                </c:pt>
                <c:pt idx="89">
                  <c:v>0.044933505252835</c:v>
                </c:pt>
                <c:pt idx="90">
                  <c:v>0.0449381009810751</c:v>
                </c:pt>
                <c:pt idx="91">
                  <c:v>0.0449423790794427</c:v>
                </c:pt>
                <c:pt idx="92">
                  <c:v>0.0449463615006582</c:v>
                </c:pt>
                <c:pt idx="93">
                  <c:v>0.0449500686801978</c:v>
                </c:pt>
                <c:pt idx="94">
                  <c:v>0.0449535196411573</c:v>
                </c:pt>
                <c:pt idx="95">
                  <c:v>0.0449567320918673</c:v>
                </c:pt>
                <c:pt idx="96">
                  <c:v>0.0449597225167621</c:v>
                </c:pt>
                <c:pt idx="97">
                  <c:v>0.0449625062609682</c:v>
                </c:pt>
                <c:pt idx="98">
                  <c:v>0.0449650976090466</c:v>
                </c:pt>
                <c:pt idx="99">
                  <c:v>0.0449675098582932</c:v>
                </c:pt>
                <c:pt idx="100">
                  <c:v>0.0449697553869723</c:v>
                </c:pt>
                <c:pt idx="101">
                  <c:v>0.0449718457178349</c:v>
                </c:pt>
                <c:pt idx="102">
                  <c:v>0.044973791577247</c:v>
                </c:pt>
                <c:pt idx="103">
                  <c:v>0.0449756029502307</c:v>
                </c:pt>
                <c:pt idx="104">
                  <c:v>0.0449772891317019</c:v>
                </c:pt>
                <c:pt idx="105">
                  <c:v>0.044978858774166</c:v>
                </c:pt>
                <c:pt idx="106">
                  <c:v>0.0449803199321182</c:v>
                </c:pt>
                <c:pt idx="107">
                  <c:v>0.0449816801033736</c:v>
                </c:pt>
                <c:pt idx="108">
                  <c:v>0.0449829462675425</c:v>
                </c:pt>
                <c:pt idx="109">
                  <c:v>0.0449841249218452</c:v>
                </c:pt>
                <c:pt idx="110">
                  <c:v>0.0449852221144521</c:v>
                </c:pt>
                <c:pt idx="111">
                  <c:v>0.0449862434755196</c:v>
                </c:pt>
                <c:pt idx="112">
                  <c:v>0.0449871942460802</c:v>
                </c:pt>
                <c:pt idx="113">
                  <c:v>0.0449880793049372</c:v>
                </c:pt>
                <c:pt idx="114">
                  <c:v>0.0449889031936995</c:v>
                </c:pt>
                <c:pt idx="115">
                  <c:v>0.0449896701400865</c:v>
                </c:pt>
                <c:pt idx="116">
                  <c:v>0.0449903840796222</c:v>
                </c:pt>
                <c:pt idx="117">
                  <c:v>0.0449910486758305</c:v>
                </c:pt>
                <c:pt idx="118">
                  <c:v>0.0449916673390336</c:v>
                </c:pt>
                <c:pt idx="119">
                  <c:v>0.0449922432438524</c:v>
                </c:pt>
                <c:pt idx="120">
                  <c:v>0.0449927793454965</c:v>
                </c:pt>
                <c:pt idx="121">
                  <c:v>0.0449932783949286</c:v>
                </c:pt>
                <c:pt idx="122">
                  <c:v>0.0449937429529812</c:v>
                </c:pt>
                <c:pt idx="123">
                  <c:v>0.0449941754034966</c:v>
                </c:pt>
                <c:pt idx="124">
                  <c:v>0.0449945779655602</c:v>
                </c:pt>
                <c:pt idx="125">
                  <c:v>0.0449949527048871</c:v>
                </c:pt>
                <c:pt idx="126">
                  <c:v>0.0449953015444221</c:v>
                </c:pt>
                <c:pt idx="127">
                  <c:v>0.0449956262742076</c:v>
                </c:pt>
                <c:pt idx="128">
                  <c:v>0.0449959285605685</c:v>
                </c:pt>
                <c:pt idx="129">
                  <c:v>0.0449962099546631</c:v>
                </c:pt>
                <c:pt idx="130">
                  <c:v>0.0449964719004427</c:v>
                </c:pt>
                <c:pt idx="131">
                  <c:v>0.0449967157420612</c:v>
                </c:pt>
                <c:pt idx="132">
                  <c:v>0.0449969427307723</c:v>
                </c:pt>
                <c:pt idx="133">
                  <c:v>0.0449971540313506</c:v>
                </c:pt>
                <c:pt idx="134">
                  <c:v>0.044997350728068</c:v>
                </c:pt>
                <c:pt idx="135">
                  <c:v>0.0449975338302581</c:v>
                </c:pt>
                <c:pt idx="136">
                  <c:v>0.0449977042774951</c:v>
                </c:pt>
                <c:pt idx="137">
                  <c:v>0.0449978629444153</c:v>
                </c:pt>
                <c:pt idx="138">
                  <c:v>0.0449980106452055</c:v>
                </c:pt>
                <c:pt idx="139">
                  <c:v>0.0449981481377805</c:v>
                </c:pt>
                <c:pt idx="140">
                  <c:v>0.0449982761276724</c:v>
                </c:pt>
                <c:pt idx="141">
                  <c:v>0.044998395271651</c:v>
                </c:pt>
                <c:pt idx="142">
                  <c:v>0.0449985061810943</c:v>
                </c:pt>
                <c:pt idx="143">
                  <c:v>0.0449986094251252</c:v>
                </c:pt>
                <c:pt idx="144">
                  <c:v>0.0449987055335322</c:v>
                </c:pt>
                <c:pt idx="145">
                  <c:v>0.0449987949994879</c:v>
                </c:pt>
                <c:pt idx="146">
                  <c:v>0.0449988782820796</c:v>
                </c:pt>
                <c:pt idx="147">
                  <c:v>0.0449989558086655</c:v>
                </c:pt>
                <c:pt idx="148">
                  <c:v>0.0449990279770669</c:v>
                </c:pt>
                <c:pt idx="149">
                  <c:v>0.0449990951576102</c:v>
                </c:pt>
                <c:pt idx="150">
                  <c:v>0.0449991576950271</c:v>
                </c:pt>
                <c:pt idx="151">
                  <c:v>0.0449992159102233</c:v>
                </c:pt>
                <c:pt idx="152">
                  <c:v>0.0449992701019254</c:v>
                </c:pt>
                <c:pt idx="153">
                  <c:v>0.0449993205482138</c:v>
                </c:pt>
                <c:pt idx="154">
                  <c:v>0.0449993675079496</c:v>
                </c:pt>
                <c:pt idx="155">
                  <c:v>0.044999411222103</c:v>
                </c:pt>
                <c:pt idx="156">
                  <c:v>0.0449994519149897</c:v>
                </c:pt>
                <c:pt idx="157">
                  <c:v>0.0449994897954218</c:v>
                </c:pt>
                <c:pt idx="158">
                  <c:v>0.04499952505778</c:v>
                </c:pt>
                <c:pt idx="159">
                  <c:v>0.04499955788301</c:v>
                </c:pt>
                <c:pt idx="160">
                  <c:v>0.044999588439552</c:v>
                </c:pt>
                <c:pt idx="161">
                  <c:v>0.0449996168842045</c:v>
                </c:pt>
                <c:pt idx="162">
                  <c:v>0.0449996433629288</c:v>
                </c:pt>
                <c:pt idx="163">
                  <c:v>0.0449996680115985</c:v>
                </c:pt>
                <c:pt idx="164">
                  <c:v>0.0449996909566963</c:v>
                </c:pt>
                <c:pt idx="165">
                  <c:v>0.044999712315963</c:v>
                </c:pt>
                <c:pt idx="166">
                  <c:v>0.044999732199002</c:v>
                </c:pt>
                <c:pt idx="167">
                  <c:v>0.0449997507078416</c:v>
                </c:pt>
                <c:pt idx="168">
                  <c:v>0.0449997679374584</c:v>
                </c:pt>
                <c:pt idx="169">
                  <c:v>0.0449997839762648</c:v>
                </c:pt>
                <c:pt idx="170">
                  <c:v>0.0449997989065626</c:v>
                </c:pt>
                <c:pt idx="171">
                  <c:v>0.0449998128049656</c:v>
                </c:pt>
                <c:pt idx="172">
                  <c:v>0.0449998257427921</c:v>
                </c:pt>
                <c:pt idx="173">
                  <c:v>0.0449998377864317</c:v>
                </c:pt>
                <c:pt idx="174">
                  <c:v>0.0449998489976854</c:v>
                </c:pt>
                <c:pt idx="175">
                  <c:v>0.045</c:v>
                </c:pt>
              </c:numCache>
            </c:numRef>
          </c:yVal>
          <c:smooth val="1"/>
        </c:ser>
        <c:axId val="54284234"/>
        <c:axId val="49083953"/>
      </c:scatterChart>
      <c:valAx>
        <c:axId val="54284234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240">
              <a:solidFill>
                <a:srgbClr val="808080"/>
              </a:solidFill>
              <a:round/>
            </a:ln>
          </c:spPr>
        </c:majorGridlines>
        <c:minorGridlines>
          <c:spPr>
            <a:ln w="3240">
              <a:solidFill>
                <a:srgbClr val="969696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  <a:r>
                  <a: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rPr>
                  <a:t>Nombre de Reynolds du grain</a:t>
                </a:r>
              </a:p>
            </c:rich>
          </c:tx>
          <c:layout>
            <c:manualLayout>
              <c:xMode val="edge"/>
              <c:yMode val="edge"/>
              <c:x val="0.451148028479112"/>
              <c:y val="0.922362204724409"/>
            </c:manualLayout>
          </c:layout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</a:p>
        </c:txPr>
        <c:crossAx val="49083953"/>
        <c:crossesAt val="0.0001"/>
        <c:crossBetween val="midCat"/>
      </c:valAx>
      <c:valAx>
        <c:axId val="49083953"/>
        <c:scaling>
          <c:logBase val="10"/>
          <c:orientation val="minMax"/>
        </c:scaling>
        <c:delete val="0"/>
        <c:axPos val="l"/>
        <c:majorGridlines>
          <c:spPr>
            <a:ln w="12600">
              <a:solidFill>
                <a:srgbClr val="808080"/>
              </a:solidFill>
              <a:round/>
            </a:ln>
          </c:spPr>
        </c:majorGridlines>
        <c:minorGridlines>
          <c:spPr>
            <a:ln w="3240">
              <a:solidFill>
                <a:srgbClr val="80808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  <a:r>
                  <a: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rPr>
                  <a:t>Cisaillement adimensionnel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3240">
            <a:solidFill>
              <a:srgbClr val="808080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</a:p>
        </c:txPr>
        <c:crossAx val="54284234"/>
        <c:crossesAt val="0.1"/>
        <c:crossBetween val="midCat"/>
      </c:valAx>
      <c:spPr>
        <a:noFill/>
        <a:ln w="12600">
          <a:solidFill>
            <a:srgbClr val="000000"/>
          </a:solidFill>
          <a:round/>
        </a:ln>
      </c:spPr>
    </c:plotArea>
    <c:legend>
      <c:legendPos val="r"/>
      <c:layout>
        <c:manualLayout>
          <c:xMode val="edge"/>
          <c:yMode val="edge"/>
          <c:x val="0.867329280870683"/>
          <c:y val="0.934372265966754"/>
          <c:w val="0.0873203266645418"/>
          <c:h val="0.0321547546941248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100" spc="-1" strike="noStrike">
              <a:solidFill>
                <a:srgbClr val="000000"/>
              </a:solidFill>
              <a:latin typeface="Times New Roman"/>
              <a:ea typeface="Times New Roman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fr-CH" sz="144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  <a:r>
              <a:rPr b="0" lang="fr-CH" sz="1440" spc="-1" strike="noStrike">
                <a:solidFill>
                  <a:srgbClr val="000000"/>
                </a:solidFill>
                <a:latin typeface="Times New Roman"/>
                <a:ea typeface="Times New Roman"/>
              </a:rPr>
              <a:t>Diagramme de Shields, selon van Rijn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9186796870539"/>
          <c:y val="0.0686089238845144"/>
          <c:w val="0.873365313231683"/>
          <c:h val="0.796902887139108"/>
        </c:manualLayout>
      </c:layout>
      <c:scatterChart>
        <c:scatterStyle val="line"/>
        <c:varyColors val="0"/>
        <c:ser>
          <c:idx val="0"/>
          <c:order val="0"/>
          <c:tx>
            <c:strRef>
              <c:f>"van Rijn"</c:f>
              <c:strCache>
                <c:ptCount val="1"/>
                <c:pt idx="0">
                  <c:v>van Rijn</c:v>
                </c:pt>
              </c:strCache>
            </c:strRef>
          </c:tx>
          <c:spPr>
            <a:solidFill>
              <a:srgbClr val="000000"/>
            </a:solidFill>
            <a:ln w="4428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Shields!$E$2:$E$203</c:f>
              <c:numCache>
                <c:formatCode>General</c:formatCode>
                <c:ptCount val="20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1000</c:v>
                </c:pt>
                <c:pt idx="201">
                  <c:v>10000</c:v>
                </c:pt>
              </c:numCache>
            </c:numRef>
          </c:xVal>
          <c:yVal>
            <c:numRef>
              <c:f>Shields!$F$2:$F$203</c:f>
              <c:numCache>
                <c:formatCode>General</c:formatCode>
                <c:ptCount val="202"/>
                <c:pt idx="0">
                  <c:v>0.24</c:v>
                </c:pt>
                <c:pt idx="1">
                  <c:v>0.12</c:v>
                </c:pt>
                <c:pt idx="2">
                  <c:v>0.08</c:v>
                </c:pt>
                <c:pt idx="3">
                  <c:v>0.06</c:v>
                </c:pt>
                <c:pt idx="4">
                  <c:v>0.0499789620883459</c:v>
                </c:pt>
                <c:pt idx="5">
                  <c:v>0.0444745165038489</c:v>
                </c:pt>
                <c:pt idx="6">
                  <c:v>0.0402963110367787</c:v>
                </c:pt>
                <c:pt idx="7">
                  <c:v>0.0369956314196483</c:v>
                </c:pt>
                <c:pt idx="8">
                  <c:v>0.0343093768071834</c:v>
                </c:pt>
                <c:pt idx="9">
                  <c:v>0.0320721471387488</c:v>
                </c:pt>
                <c:pt idx="10">
                  <c:v>0.0314717376878709</c:v>
                </c:pt>
                <c:pt idx="11">
                  <c:v>0.0311990856761721</c:v>
                </c:pt>
                <c:pt idx="12">
                  <c:v>0.0309503565224441</c:v>
                </c:pt>
                <c:pt idx="13">
                  <c:v>0.0307218375064094</c:v>
                </c:pt>
                <c:pt idx="14">
                  <c:v>0.030510608231307</c:v>
                </c:pt>
                <c:pt idx="15">
                  <c:v>0.030314331330208</c:v>
                </c:pt>
                <c:pt idx="16">
                  <c:v>0.0301311077970016</c:v>
                </c:pt>
                <c:pt idx="17">
                  <c:v>0.0299593744320031</c:v>
                </c:pt>
                <c:pt idx="18">
                  <c:v>0.0297978295270875</c:v>
                </c:pt>
                <c:pt idx="19">
                  <c:v>0.0296453779642779</c:v>
                </c:pt>
                <c:pt idx="20">
                  <c:v>0.0314330807181656</c:v>
                </c:pt>
                <c:pt idx="21">
                  <c:v>0.0318600116114921</c:v>
                </c:pt>
                <c:pt idx="22">
                  <c:v>0.0322733780073242</c:v>
                </c:pt>
                <c:pt idx="23">
                  <c:v>0.0326741736189268</c:v>
                </c:pt>
                <c:pt idx="24">
                  <c:v>0.0330632815093605</c:v>
                </c:pt>
                <c:pt idx="25">
                  <c:v>0.0334414902958786</c:v>
                </c:pt>
                <c:pt idx="26">
                  <c:v>0.0338095074555519</c:v>
                </c:pt>
                <c:pt idx="27">
                  <c:v>0.0341679703378557</c:v>
                </c:pt>
                <c:pt idx="28">
                  <c:v>0.0345174553464458</c:v>
                </c:pt>
                <c:pt idx="29">
                  <c:v>0.0348584856465753</c:v>
                </c:pt>
                <c:pt idx="30">
                  <c:v>0.0351915376757317</c:v>
                </c:pt>
                <c:pt idx="31">
                  <c:v>0.0355170466756143</c:v>
                </c:pt>
                <c:pt idx="32">
                  <c:v>0.0358354114182966</c:v>
                </c:pt>
                <c:pt idx="33">
                  <c:v>0.0361469982646178</c:v>
                </c:pt>
                <c:pt idx="34">
                  <c:v>0.0364521446658663</c:v>
                </c:pt>
                <c:pt idx="35">
                  <c:v>0.0367511621987214</c:v>
                </c:pt>
                <c:pt idx="36">
                  <c:v>0.0370443392068057</c:v>
                </c:pt>
                <c:pt idx="37">
                  <c:v>0.0373319431090129</c:v>
                </c:pt>
                <c:pt idx="38">
                  <c:v>0.0376142224242478</c:v>
                </c:pt>
                <c:pt idx="39">
                  <c:v>0.0378914085537417</c:v>
                </c:pt>
                <c:pt idx="40">
                  <c:v>0.038163717355264</c:v>
                </c:pt>
                <c:pt idx="41">
                  <c:v>0.0384313505379752</c:v>
                </c:pt>
                <c:pt idx="42">
                  <c:v>0.0386944969021117</c:v>
                </c:pt>
                <c:pt idx="43">
                  <c:v>0.0389533334439472</c:v>
                </c:pt>
                <c:pt idx="44">
                  <c:v>0.0392080263433811</c:v>
                </c:pt>
                <c:pt idx="45">
                  <c:v>0.0394587318489359</c:v>
                </c:pt>
                <c:pt idx="46">
                  <c:v>0.0397055970728054</c:v>
                </c:pt>
                <c:pt idx="47">
                  <c:v>0.0399487607068035</c:v>
                </c:pt>
                <c:pt idx="48">
                  <c:v>0.0401883536685572</c:v>
                </c:pt>
                <c:pt idx="49">
                  <c:v>0.0404244996860155</c:v>
                </c:pt>
                <c:pt idx="50">
                  <c:v>0.0406573158272734</c:v>
                </c:pt>
                <c:pt idx="51">
                  <c:v>0.0408869129817896</c:v>
                </c:pt>
                <c:pt idx="52">
                  <c:v>0.0411133962983041</c:v>
                </c:pt>
                <c:pt idx="53">
                  <c:v>0.041336865584088</c:v>
                </c:pt>
                <c:pt idx="54">
                  <c:v>0.04155741566959</c:v>
                </c:pt>
                <c:pt idx="55">
                  <c:v>0.0417751367420503</c:v>
                </c:pt>
                <c:pt idx="56">
                  <c:v>0.0419901146512252</c:v>
                </c:pt>
                <c:pt idx="57">
                  <c:v>0.0422024311900021</c:v>
                </c:pt>
                <c:pt idx="58">
                  <c:v>0.0424121643523593</c:v>
                </c:pt>
                <c:pt idx="59">
                  <c:v>0.0426193885708538</c:v>
                </c:pt>
                <c:pt idx="60">
                  <c:v>0.0428241749355715</c:v>
                </c:pt>
                <c:pt idx="61">
                  <c:v>0.0430265913962674</c:v>
                </c:pt>
                <c:pt idx="62">
                  <c:v>0.043226702949234</c:v>
                </c:pt>
                <c:pt idx="63">
                  <c:v>0.0434245718102752</c:v>
                </c:pt>
                <c:pt idx="64">
                  <c:v>0.0436202575750192</c:v>
                </c:pt>
                <c:pt idx="65">
                  <c:v>0.0438138173676756</c:v>
                </c:pt>
                <c:pt idx="66">
                  <c:v>0.0440053059792323</c:v>
                </c:pt>
                <c:pt idx="67">
                  <c:v>0.044194775995987</c:v>
                </c:pt>
                <c:pt idx="68">
                  <c:v>0.0443822779192213</c:v>
                </c:pt>
                <c:pt idx="69">
                  <c:v>0.0445678602767462</c:v>
                </c:pt>
                <c:pt idx="70">
                  <c:v>0.0447515697269793</c:v>
                </c:pt>
                <c:pt idx="71">
                  <c:v>0.044933451156151</c:v>
                </c:pt>
                <c:pt idx="72">
                  <c:v>0.0451135477691826</c:v>
                </c:pt>
                <c:pt idx="73">
                  <c:v>0.0452919011747281</c:v>
                </c:pt>
                <c:pt idx="74">
                  <c:v>0.0454685514648286</c:v>
                </c:pt>
                <c:pt idx="75">
                  <c:v>0.0456435372895881</c:v>
                </c:pt>
                <c:pt idx="76">
                  <c:v>0.0458168959272408</c:v>
                </c:pt>
                <c:pt idx="77">
                  <c:v>0.0459886633499536</c:v>
                </c:pt>
                <c:pt idx="78">
                  <c:v>0.046158874285671</c:v>
                </c:pt>
                <c:pt idx="79">
                  <c:v>0.0463275622762903</c:v>
                </c:pt>
                <c:pt idx="80">
                  <c:v>0.0464947597324257</c:v>
                </c:pt>
                <c:pt idx="81">
                  <c:v>0.0466604979850016</c:v>
                </c:pt>
                <c:pt idx="82">
                  <c:v>0.0468248073338954</c:v>
                </c:pt>
                <c:pt idx="83">
                  <c:v>0.0469877170938312</c:v>
                </c:pt>
                <c:pt idx="84">
                  <c:v>0.0471492556377107</c:v>
                </c:pt>
                <c:pt idx="85">
                  <c:v>0.0473094504375527</c:v>
                </c:pt>
                <c:pt idx="86">
                  <c:v>0.0474683281032002</c:v>
                </c:pt>
                <c:pt idx="87">
                  <c:v>0.0476259144189394</c:v>
                </c:pt>
                <c:pt idx="88">
                  <c:v>0.0477822343781668</c:v>
                </c:pt>
                <c:pt idx="89">
                  <c:v>0.0479373122162294</c:v>
                </c:pt>
                <c:pt idx="90">
                  <c:v>0.048091171441552</c:v>
                </c:pt>
                <c:pt idx="91">
                  <c:v>0.0482438348651599</c:v>
                </c:pt>
                <c:pt idx="92">
                  <c:v>0.048395324628696</c:v>
                </c:pt>
                <c:pt idx="93">
                  <c:v>0.0485456622310242</c:v>
                </c:pt>
                <c:pt idx="94">
                  <c:v>0.0486948685535046</c:v>
                </c:pt>
                <c:pt idx="95">
                  <c:v>0.0488429638840203</c:v>
                </c:pt>
                <c:pt idx="96">
                  <c:v>0.0489899679398294</c:v>
                </c:pt>
                <c:pt idx="97">
                  <c:v>0.0491358998893118</c:v>
                </c:pt>
                <c:pt idx="98">
                  <c:v>0.049280778372674</c:v>
                </c:pt>
                <c:pt idx="99">
                  <c:v>0.049424621521673</c:v>
                </c:pt>
                <c:pt idx="100">
                  <c:v>0.0495674469784132</c:v>
                </c:pt>
                <c:pt idx="101">
                  <c:v>0.0497092719132716</c:v>
                </c:pt>
                <c:pt idx="102">
                  <c:v>0.0498501130419963</c:v>
                </c:pt>
                <c:pt idx="103">
                  <c:v>0.0499899866420267</c:v>
                </c:pt>
                <c:pt idx="104">
                  <c:v>0.050128908568077</c:v>
                </c:pt>
                <c:pt idx="105">
                  <c:v>0.0502668942670227</c:v>
                </c:pt>
                <c:pt idx="106">
                  <c:v>0.050403958792128</c:v>
                </c:pt>
                <c:pt idx="107">
                  <c:v>0.0505401168166491</c:v>
                </c:pt>
                <c:pt idx="108">
                  <c:v>0.0506753826468456</c:v>
                </c:pt>
                <c:pt idx="109">
                  <c:v>0.0508097702344323</c:v>
                </c:pt>
                <c:pt idx="110">
                  <c:v>0.0509432931884985</c:v>
                </c:pt>
                <c:pt idx="111">
                  <c:v>0.0510759647869245</c:v>
                </c:pt>
                <c:pt idx="112">
                  <c:v>0.0512077979873176</c:v>
                </c:pt>
                <c:pt idx="113">
                  <c:v>0.0513388054374958</c:v>
                </c:pt>
                <c:pt idx="114">
                  <c:v>0.051468999485538</c:v>
                </c:pt>
                <c:pt idx="115">
                  <c:v>0.0515983921894246</c:v>
                </c:pt>
                <c:pt idx="116">
                  <c:v>0.0517269953262877</c:v>
                </c:pt>
                <c:pt idx="117">
                  <c:v>0.0518548204012902</c:v>
                </c:pt>
                <c:pt idx="118">
                  <c:v>0.0519818786561511</c:v>
                </c:pt>
                <c:pt idx="119">
                  <c:v>0.0521081810773348</c:v>
                </c:pt>
                <c:pt idx="120">
                  <c:v>0.0522337384039196</c:v>
                </c:pt>
                <c:pt idx="121">
                  <c:v>0.0523585611351609</c:v>
                </c:pt>
                <c:pt idx="122">
                  <c:v>0.0524826595377634</c:v>
                </c:pt>
                <c:pt idx="123">
                  <c:v>0.0526060436528756</c:v>
                </c:pt>
                <c:pt idx="124">
                  <c:v>0.0527287233028187</c:v>
                </c:pt>
                <c:pt idx="125">
                  <c:v>0.052850708097564</c:v>
                </c:pt>
                <c:pt idx="126">
                  <c:v>0.0529720074409673</c:v>
                </c:pt>
                <c:pt idx="127">
                  <c:v>0.053092630536774</c:v>
                </c:pt>
                <c:pt idx="128">
                  <c:v>0.0532125863944032</c:v>
                </c:pt>
                <c:pt idx="129">
                  <c:v>0.053331883834521</c:v>
                </c:pt>
                <c:pt idx="130">
                  <c:v>0.0534505314944132</c:v>
                </c:pt>
                <c:pt idx="131">
                  <c:v>0.0535685378331645</c:v>
                </c:pt>
                <c:pt idx="132">
                  <c:v>0.0536859111366538</c:v>
                </c:pt>
                <c:pt idx="133">
                  <c:v>0.053802659522373</c:v>
                </c:pt>
                <c:pt idx="134">
                  <c:v>0.0539187909440772</c:v>
                </c:pt>
                <c:pt idx="135">
                  <c:v>0.0540343131962723</c:v>
                </c:pt>
                <c:pt idx="136">
                  <c:v>0.0541492339185482</c:v>
                </c:pt>
                <c:pt idx="137">
                  <c:v>0.0542635605997633</c:v>
                </c:pt>
                <c:pt idx="138">
                  <c:v>0.0543773005820865</c:v>
                </c:pt>
                <c:pt idx="139">
                  <c:v>0.0544904610649023</c:v>
                </c:pt>
                <c:pt idx="140">
                  <c:v>0.0546030491085857</c:v>
                </c:pt>
                <c:pt idx="141">
                  <c:v>0.05471507163815</c:v>
                </c:pt>
                <c:pt idx="142">
                  <c:v>0.0548265354467751</c:v>
                </c:pt>
                <c:pt idx="143">
                  <c:v>0.0549374471992195</c:v>
                </c:pt>
                <c:pt idx="144">
                  <c:v>0.0550478134351204</c:v>
                </c:pt>
                <c:pt idx="145">
                  <c:v>0.0551576405721878</c:v>
                </c:pt>
                <c:pt idx="146">
                  <c:v>0.0552669349092951</c:v>
                </c:pt>
                <c:pt idx="147">
                  <c:v>0.0553757026294713</c:v>
                </c:pt>
                <c:pt idx="148">
                  <c:v>0.0554839498027977</c:v>
                </c:pt>
                <c:pt idx="149">
                  <c:v>0.0555916823892142</c:v>
                </c:pt>
                <c:pt idx="150">
                  <c:v>0.055</c:v>
                </c:pt>
                <c:pt idx="151">
                  <c:v>0.055</c:v>
                </c:pt>
                <c:pt idx="152">
                  <c:v>0.055</c:v>
                </c:pt>
                <c:pt idx="153">
                  <c:v>0.055</c:v>
                </c:pt>
                <c:pt idx="154">
                  <c:v>0.055</c:v>
                </c:pt>
                <c:pt idx="155">
                  <c:v>0.055</c:v>
                </c:pt>
                <c:pt idx="156">
                  <c:v>0.055</c:v>
                </c:pt>
                <c:pt idx="157">
                  <c:v>0.055</c:v>
                </c:pt>
                <c:pt idx="158">
                  <c:v>0.055</c:v>
                </c:pt>
                <c:pt idx="159">
                  <c:v>0.055</c:v>
                </c:pt>
                <c:pt idx="160">
                  <c:v>0.055</c:v>
                </c:pt>
                <c:pt idx="161">
                  <c:v>0.055</c:v>
                </c:pt>
                <c:pt idx="162">
                  <c:v>0.055</c:v>
                </c:pt>
                <c:pt idx="163">
                  <c:v>0.055</c:v>
                </c:pt>
                <c:pt idx="164">
                  <c:v>0.055</c:v>
                </c:pt>
                <c:pt idx="165">
                  <c:v>0.055</c:v>
                </c:pt>
                <c:pt idx="166">
                  <c:v>0.055</c:v>
                </c:pt>
                <c:pt idx="167">
                  <c:v>0.055</c:v>
                </c:pt>
                <c:pt idx="168">
                  <c:v>0.055</c:v>
                </c:pt>
                <c:pt idx="169">
                  <c:v>0.055</c:v>
                </c:pt>
                <c:pt idx="170">
                  <c:v>0.055</c:v>
                </c:pt>
                <c:pt idx="171">
                  <c:v>0.055</c:v>
                </c:pt>
                <c:pt idx="172">
                  <c:v>0.055</c:v>
                </c:pt>
                <c:pt idx="173">
                  <c:v>0.055</c:v>
                </c:pt>
                <c:pt idx="174">
                  <c:v>0.055</c:v>
                </c:pt>
                <c:pt idx="175">
                  <c:v>0.055</c:v>
                </c:pt>
                <c:pt idx="176">
                  <c:v>0.055</c:v>
                </c:pt>
                <c:pt idx="177">
                  <c:v>0.055</c:v>
                </c:pt>
                <c:pt idx="178">
                  <c:v>0.055</c:v>
                </c:pt>
                <c:pt idx="179">
                  <c:v>0.055</c:v>
                </c:pt>
                <c:pt idx="180">
                  <c:v>0.055</c:v>
                </c:pt>
                <c:pt idx="181">
                  <c:v>0.055</c:v>
                </c:pt>
                <c:pt idx="182">
                  <c:v>0.055</c:v>
                </c:pt>
                <c:pt idx="183">
                  <c:v>0.055</c:v>
                </c:pt>
                <c:pt idx="184">
                  <c:v>0.055</c:v>
                </c:pt>
                <c:pt idx="185">
                  <c:v>0.055</c:v>
                </c:pt>
                <c:pt idx="186">
                  <c:v>0.055</c:v>
                </c:pt>
                <c:pt idx="187">
                  <c:v>0.055</c:v>
                </c:pt>
                <c:pt idx="188">
                  <c:v>0.055</c:v>
                </c:pt>
                <c:pt idx="189">
                  <c:v>0.055</c:v>
                </c:pt>
                <c:pt idx="190">
                  <c:v>0.055</c:v>
                </c:pt>
                <c:pt idx="191">
                  <c:v>0.055</c:v>
                </c:pt>
                <c:pt idx="192">
                  <c:v>0.055</c:v>
                </c:pt>
                <c:pt idx="193">
                  <c:v>0.055</c:v>
                </c:pt>
                <c:pt idx="194">
                  <c:v>0.055</c:v>
                </c:pt>
                <c:pt idx="195">
                  <c:v>0.055</c:v>
                </c:pt>
                <c:pt idx="196">
                  <c:v>0.055</c:v>
                </c:pt>
                <c:pt idx="197">
                  <c:v>0.055</c:v>
                </c:pt>
                <c:pt idx="198">
                  <c:v>0.055</c:v>
                </c:pt>
                <c:pt idx="199">
                  <c:v>0.055</c:v>
                </c:pt>
                <c:pt idx="200">
                  <c:v>0.055</c:v>
                </c:pt>
                <c:pt idx="201">
                  <c:v>0.055</c:v>
                </c:pt>
              </c:numCache>
            </c:numRef>
          </c:yVal>
          <c:smooth val="0"/>
        </c:ser>
        <c:axId val="76571706"/>
        <c:axId val="40143171"/>
      </c:scatterChart>
      <c:valAx>
        <c:axId val="76571706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240">
              <a:solidFill>
                <a:srgbClr val="808080"/>
              </a:solidFill>
              <a:round/>
            </a:ln>
          </c:spPr>
        </c:majorGridlines>
        <c:minorGridlines>
          <c:spPr>
            <a:ln w="3240">
              <a:solidFill>
                <a:srgbClr val="969696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  <a:r>
                  <a: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rPr>
                  <a:t>Diamètre adimensionnel</a:t>
                </a:r>
              </a:p>
            </c:rich>
          </c:tx>
          <c:layout>
            <c:manualLayout>
              <c:xMode val="edge"/>
              <c:yMode val="edge"/>
              <c:x val="0.451144994574839"/>
              <c:y val="0.922362204724409"/>
            </c:manualLayout>
          </c:layout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</a:p>
        </c:txPr>
        <c:crossAx val="40143171"/>
        <c:crossesAt val="0.0001"/>
        <c:crossBetween val="midCat"/>
      </c:valAx>
      <c:valAx>
        <c:axId val="40143171"/>
        <c:scaling>
          <c:logBase val="10"/>
          <c:orientation val="minMax"/>
        </c:scaling>
        <c:delete val="0"/>
        <c:axPos val="l"/>
        <c:majorGridlines>
          <c:spPr>
            <a:ln w="12600">
              <a:solidFill>
                <a:srgbClr val="808080"/>
              </a:solidFill>
              <a:round/>
            </a:ln>
          </c:spPr>
        </c:majorGridlines>
        <c:minorGridlines>
          <c:spPr>
            <a:ln w="3240">
              <a:solidFill>
                <a:srgbClr val="80808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defRPr>
                </a:pPr>
                <a:r>
                  <a:rPr b="0" lang="fr-CH" sz="1200" spc="-1" strike="noStrike">
                    <a:solidFill>
                      <a:srgbClr val="000000"/>
                    </a:solidFill>
                    <a:latin typeface="Times New Roman"/>
                    <a:ea typeface="Times New Roman"/>
                  </a:rPr>
                  <a:t>Cisaillement adimensionnel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3240">
            <a:solidFill>
              <a:srgbClr val="808080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Times New Roman"/>
                <a:ea typeface="Times New Roman"/>
              </a:defRPr>
            </a:pPr>
          </a:p>
        </c:txPr>
        <c:crossAx val="76571706"/>
        <c:crossesAt val="0.1"/>
        <c:crossBetween val="midCat"/>
      </c:valAx>
      <c:spPr>
        <a:noFill/>
        <a:ln w="12600">
          <a:solidFill>
            <a:srgbClr val="000000"/>
          </a:solidFill>
          <a:round/>
        </a:ln>
      </c:spPr>
    </c:plotArea>
    <c:legend>
      <c:legendPos val="r"/>
      <c:layout>
        <c:manualLayout>
          <c:xMode val="edge"/>
          <c:yMode val="edge"/>
          <c:x val="0.867329280870683"/>
          <c:y val="0.934372265966754"/>
          <c:w val="0.0747347026213628"/>
          <c:h val="0.0321547546941248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100" spc="-1" strike="noStrike">
              <a:solidFill>
                <a:srgbClr val="000000"/>
              </a:solidFill>
              <a:latin typeface="Times New Roman"/>
              <a:ea typeface="Times New Roman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  <c:userShapes r:id="rId1"/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106560</xdr:colOff>
      <xdr:row>1</xdr:row>
      <xdr:rowOff>83880</xdr:rowOff>
    </xdr:from>
    <xdr:to>
      <xdr:col>14</xdr:col>
      <xdr:colOff>540720</xdr:colOff>
      <xdr:row>18</xdr:row>
      <xdr:rowOff>60840</xdr:rowOff>
    </xdr:to>
    <xdr:graphicFrame>
      <xdr:nvGraphicFramePr>
        <xdr:cNvPr id="0" name="Chart 1"/>
        <xdr:cNvGraphicFramePr/>
      </xdr:nvGraphicFramePr>
      <xdr:xfrm>
        <a:off x="3202920" y="245880"/>
        <a:ext cx="7335360" cy="2901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243720</xdr:colOff>
      <xdr:row>11</xdr:row>
      <xdr:rowOff>106560</xdr:rowOff>
    </xdr:from>
    <xdr:to>
      <xdr:col>23</xdr:col>
      <xdr:colOff>594000</xdr:colOff>
      <xdr:row>47</xdr:row>
      <xdr:rowOff>106200</xdr:rowOff>
    </xdr:to>
    <xdr:graphicFrame>
      <xdr:nvGraphicFramePr>
        <xdr:cNvPr id="1" name="Chart 2"/>
        <xdr:cNvGraphicFramePr/>
      </xdr:nvGraphicFramePr>
      <xdr:xfrm>
        <a:off x="9573120" y="2544840"/>
        <a:ext cx="12589920" cy="6857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491040</xdr:colOff>
      <xdr:row>17</xdr:row>
      <xdr:rowOff>60120</xdr:rowOff>
    </xdr:from>
    <xdr:to>
      <xdr:col>7</xdr:col>
      <xdr:colOff>630720</xdr:colOff>
      <xdr:row>23</xdr:row>
      <xdr:rowOff>116280</xdr:rowOff>
    </xdr:to>
    <xdr:sp>
      <xdr:nvSpPr>
        <xdr:cNvPr id="4" name="TextBox 1"/>
        <xdr:cNvSpPr/>
      </xdr:nvSpPr>
      <xdr:spPr>
        <a:xfrm rot="16200000">
          <a:off x="9290520" y="4170960"/>
          <a:ext cx="1199160" cy="1396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horzOverflow="clip" vertOverflow="clip" lIns="0" rIns="0" tIns="0" bIns="0" anchor="t">
          <a:spAutoFit/>
        </a:bodyPr>
        <a:p>
          <a:pPr>
            <a:lnSpc>
              <a:spcPct val="100000"/>
            </a:lnSpc>
          </a:pP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𝜃</a:t>
          </a: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=𝜏_∗=𝜏/(𝑠−1)𝜌𝑔𝐷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16</xdr:col>
      <xdr:colOff>73440</xdr:colOff>
      <xdr:row>44</xdr:row>
      <xdr:rowOff>88200</xdr:rowOff>
    </xdr:from>
    <xdr:to>
      <xdr:col>17</xdr:col>
      <xdr:colOff>447480</xdr:colOff>
      <xdr:row>45</xdr:row>
      <xdr:rowOff>37800</xdr:rowOff>
    </xdr:to>
    <xdr:sp>
      <xdr:nvSpPr>
        <xdr:cNvPr id="5" name="TextBox 2"/>
        <xdr:cNvSpPr/>
      </xdr:nvSpPr>
      <xdr:spPr>
        <a:xfrm>
          <a:off x="17250840" y="8813160"/>
          <a:ext cx="1001520" cy="1400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horzOverflow="clip" vertOverflow="clip" lIns="0" rIns="0" tIns="0" bIns="0" anchor="t">
          <a:spAutoFit/>
        </a:bodyPr>
        <a:p>
          <a:pPr>
            <a:lnSpc>
              <a:spcPct val="100000"/>
            </a:lnSpc>
          </a:pP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𝑅𝑒</a:t>
          </a: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_∗=(𝑢_∗ 𝐷)/𝜈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7</xdr:col>
      <xdr:colOff>289440</xdr:colOff>
      <xdr:row>50</xdr:row>
      <xdr:rowOff>152280</xdr:rowOff>
    </xdr:from>
    <xdr:to>
      <xdr:col>24</xdr:col>
      <xdr:colOff>29880</xdr:colOff>
      <xdr:row>86</xdr:row>
      <xdr:rowOff>151920</xdr:rowOff>
    </xdr:to>
    <xdr:graphicFrame>
      <xdr:nvGraphicFramePr>
        <xdr:cNvPr id="6" name="Chart 2"/>
        <xdr:cNvGraphicFramePr/>
      </xdr:nvGraphicFramePr>
      <xdr:xfrm>
        <a:off x="9618840" y="10020240"/>
        <a:ext cx="12607560" cy="6857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537120</xdr:colOff>
      <xdr:row>56</xdr:row>
      <xdr:rowOff>105840</xdr:rowOff>
    </xdr:from>
    <xdr:to>
      <xdr:col>7</xdr:col>
      <xdr:colOff>676800</xdr:colOff>
      <xdr:row>62</xdr:row>
      <xdr:rowOff>162000</xdr:rowOff>
    </xdr:to>
    <xdr:sp>
      <xdr:nvSpPr>
        <xdr:cNvPr id="9" name="TextBox 10"/>
        <xdr:cNvSpPr/>
      </xdr:nvSpPr>
      <xdr:spPr>
        <a:xfrm rot="16200000">
          <a:off x="9336600" y="11646360"/>
          <a:ext cx="1199160" cy="1396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horzOverflow="clip" vertOverflow="clip" lIns="0" rIns="0" tIns="0" bIns="0" anchor="t">
          <a:spAutoFit/>
        </a:bodyPr>
        <a:p>
          <a:pPr>
            <a:lnSpc>
              <a:spcPct val="100000"/>
            </a:lnSpc>
          </a:pP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𝜃</a:t>
          </a: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=𝜏_∗=𝜏/(𝑠−1)𝜌𝑔𝐷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15</xdr:col>
      <xdr:colOff>444960</xdr:colOff>
      <xdr:row>83</xdr:row>
      <xdr:rowOff>16920</xdr:rowOff>
    </xdr:from>
    <xdr:to>
      <xdr:col>18</xdr:col>
      <xdr:colOff>232560</xdr:colOff>
      <xdr:row>83</xdr:row>
      <xdr:rowOff>156960</xdr:rowOff>
    </xdr:to>
    <xdr:sp>
      <xdr:nvSpPr>
        <xdr:cNvPr id="10" name="TextBox 11"/>
        <xdr:cNvSpPr/>
      </xdr:nvSpPr>
      <xdr:spPr>
        <a:xfrm>
          <a:off x="16994880" y="16171200"/>
          <a:ext cx="1669680" cy="1400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horzOverflow="clip" vertOverflow="clip" lIns="0" rIns="0" tIns="0" bIns="0" anchor="t">
          <a:spAutoFit/>
        </a:bodyPr>
        <a:p>
          <a:pPr>
            <a:lnSpc>
              <a:spcPct val="100000"/>
            </a:lnSpc>
          </a:pP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𝑑</a:t>
          </a:r>
          <a:r>
            <a:rPr b="0" lang="fr-CH" sz="1100" spc="-1" strike="noStrike">
              <a:solidFill>
                <a:srgbClr val="000000"/>
              </a:solidFill>
              <a:latin typeface="Cambria Math"/>
            </a:rPr>
            <a:t>_∗=𝐷((𝑠−1)𝑔/𝜈^2 )^(1/3)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0.742429874474595</cdr:x>
      <cdr:y>0.110183727034121</cdr:y>
    </cdr:from>
    <cdr:to>
      <cdr:x>0.933234209247133</cdr:x>
      <cdr:y>0.175643044619423</cdr:y>
    </cdr:to>
    <cdr:sp>
      <cdr:nvSpPr>
        <cdr:cNvPr id="2" name="TextBox 1"/>
        <cdr:cNvSpPr/>
      </cdr:nvSpPr>
      <cdr:spPr>
        <a:xfrm>
          <a:off x="9347400" y="755640"/>
          <a:ext cx="2402280" cy="448920"/>
        </a:xfrm>
        <a:prstGeom prst="rect">
          <a:avLst/>
        </a:prstGeom>
        <a:solidFill>
          <a:srgbClr val="ffffff"/>
        </a:solidFill>
        <a:ln w="0">
          <a:solidFill>
            <a:srgbClr val="000000">
              <a:lumMod val="50000"/>
              <a:lumOff val="50000"/>
            </a:srgbClr>
          </a:solidFill>
        </a:ln>
      </cdr:spPr>
      <cdr:style>
        <a:lnRef idx="0"/>
        <a:fillRef idx="0"/>
        <a:effectRef idx="0"/>
        <a:fontRef idx="minor"/>
      </cdr:style>
      <cdr:txBody>
        <a:bodyPr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0" lang="fr-CH" sz="2000" spc="-1" strike="noStrike">
              <a:latin typeface="Times New Roman"/>
            </a:rPr>
            <a:t>MOUVEMENT</a:t>
          </a:r>
          <a:endParaRPr b="0" sz="2000" spc="-1" strike="noStrike">
            <a:latin typeface="Times New Roman"/>
          </a:endParaRPr>
        </a:p>
      </cdr:txBody>
    </cdr:sp>
  </cdr:relSizeAnchor>
  <cdr:relSizeAnchor>
    <cdr:from>
      <cdr:x>0.0916707174105739</cdr:x>
      <cdr:y>0.733910761154856</cdr:y>
    </cdr:from>
    <cdr:to>
      <cdr:x>0.38892860206445</cdr:x>
      <cdr:y>0.799107611548557</cdr:y>
    </cdr:to>
    <cdr:sp>
      <cdr:nvSpPr>
        <cdr:cNvPr id="3" name="TextBox 1"/>
        <cdr:cNvSpPr/>
      </cdr:nvSpPr>
      <cdr:spPr>
        <a:xfrm>
          <a:off x="1154160" y="5033160"/>
          <a:ext cx="3742560" cy="447120"/>
        </a:xfrm>
        <a:prstGeom prst="rect">
          <a:avLst/>
        </a:prstGeom>
        <a:solidFill>
          <a:srgbClr val="ffffff"/>
        </a:solidFill>
        <a:ln w="0">
          <a:solidFill>
            <a:srgbClr val="000000">
              <a:lumMod val="50000"/>
              <a:lumOff val="50000"/>
            </a:srgbClr>
          </a:solidFill>
        </a:ln>
      </cdr:spPr>
      <cdr:style>
        <a:lnRef idx="0"/>
        <a:fillRef idx="0"/>
        <a:effectRef idx="0"/>
        <a:fontRef idx="minor"/>
      </cdr:style>
      <cdr:txBody>
        <a:bodyPr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0" lang="fr-CH" sz="2000" spc="-1" strike="noStrike">
              <a:latin typeface="Times New Roman"/>
            </a:rPr>
            <a:t>PAS DE MOUVEMENT</a:t>
          </a:r>
          <a:endParaRPr b="0" sz="2000" spc="-1" strike="noStrike">
            <a:latin typeface="Times New Roman"/>
          </a:endParaRPr>
        </a:p>
      </cdr:txBody>
    </cdr:sp>
  </cdr:relSizeAnchor>
</c:userShapes>
</file>

<file path=xl/drawings/drawing4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0.742419050882303</cdr:x>
      <cdr:y>0.110183727034121</cdr:y>
    </cdr:from>
    <cdr:to>
      <cdr:x>0.933213408714522</cdr:x>
      <cdr:y>0.175643044619423</cdr:y>
    </cdr:to>
    <cdr:sp>
      <cdr:nvSpPr>
        <cdr:cNvPr id="7" name="TextBox 1"/>
        <cdr:cNvSpPr/>
      </cdr:nvSpPr>
      <cdr:spPr>
        <a:xfrm>
          <a:off x="9360360" y="755640"/>
          <a:ext cx="2405520" cy="448920"/>
        </a:xfrm>
        <a:prstGeom prst="rect">
          <a:avLst/>
        </a:prstGeom>
        <a:solidFill>
          <a:srgbClr val="ffffff"/>
        </a:solidFill>
        <a:ln w="0">
          <a:solidFill>
            <a:srgbClr val="000000">
              <a:lumMod val="50000"/>
              <a:lumOff val="50000"/>
            </a:srgbClr>
          </a:solidFill>
        </a:ln>
      </cdr:spPr>
      <cdr:style>
        <a:lnRef idx="0"/>
        <a:fillRef idx="0"/>
        <a:effectRef idx="0"/>
        <a:fontRef idx="minor"/>
      </cdr:style>
      <cdr:txBody>
        <a:bodyPr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0" lang="fr-CH" sz="2000" spc="-1" strike="noStrike">
              <a:latin typeface="Times New Roman"/>
            </a:rPr>
            <a:t>MOUVEMENT</a:t>
          </a:r>
          <a:endParaRPr b="0" sz="2000" spc="-1" strike="noStrike">
            <a:latin typeface="Times New Roman"/>
          </a:endParaRPr>
        </a:p>
      </cdr:txBody>
    </cdr:sp>
  </cdr:relSizeAnchor>
  <cdr:relSizeAnchor>
    <cdr:from>
      <cdr:x>0.0916566729484324</cdr:x>
      <cdr:y>0.733910761154856</cdr:y>
    </cdr:from>
    <cdr:to>
      <cdr:x>0.388898406715779</cdr:x>
      <cdr:y>0.799107611548557</cdr:y>
    </cdr:to>
    <cdr:sp>
      <cdr:nvSpPr>
        <cdr:cNvPr id="8" name="TextBox 1"/>
        <cdr:cNvSpPr/>
      </cdr:nvSpPr>
      <cdr:spPr>
        <a:xfrm>
          <a:off x="1155600" y="5033160"/>
          <a:ext cx="3747600" cy="447120"/>
        </a:xfrm>
        <a:prstGeom prst="rect">
          <a:avLst/>
        </a:prstGeom>
        <a:solidFill>
          <a:srgbClr val="ffffff"/>
        </a:solidFill>
        <a:ln w="0">
          <a:solidFill>
            <a:srgbClr val="000000">
              <a:lumMod val="50000"/>
              <a:lumOff val="50000"/>
            </a:srgbClr>
          </a:solidFill>
        </a:ln>
      </cdr:spPr>
      <cdr:style>
        <a:lnRef idx="0"/>
        <a:fillRef idx="0"/>
        <a:effectRef idx="0"/>
        <a:fontRef idx="minor"/>
      </cdr:style>
      <cdr:txBody>
        <a:bodyPr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0" lang="fr-CH" sz="2000" spc="-1" strike="noStrike">
              <a:latin typeface="Times New Roman"/>
            </a:rPr>
            <a:t>PAS DE MOUVEMENT</a:t>
          </a:r>
          <a:endParaRPr b="0" sz="2000" spc="-1" strike="noStrike">
            <a:latin typeface="Times New Roman"/>
          </a:endParaRPr>
        </a:p>
      </cdr:txBody>
    </cdr:sp>
  </cdr:relSizeAnchor>
</c:userShape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8.90234375" defaultRowHeight="12.75" zeroHeight="false" outlineLevelRow="0" outlineLevelCol="0"/>
  <cols>
    <col collapsed="false" customWidth="true" hidden="true" outlineLevel="0" max="1" min="1" style="1" width="15.66"/>
    <col collapsed="false" customWidth="true" hidden="true" outlineLevel="0" max="3" min="2" style="1" width="13.89"/>
    <col collapsed="false" customWidth="true" hidden="false" outlineLevel="0" max="4" min="4" style="1" width="14.01"/>
    <col collapsed="false" customWidth="true" hidden="false" outlineLevel="0" max="5" min="5" style="1" width="14.11"/>
    <col collapsed="false" customWidth="true" hidden="false" outlineLevel="0" max="6" min="6" style="1" width="9.44"/>
    <col collapsed="false" customWidth="true" hidden="false" outlineLevel="0" max="7" min="7" style="1" width="10.11"/>
    <col collapsed="false" customWidth="true" hidden="false" outlineLevel="0" max="8" min="8" style="1" width="13.44"/>
    <col collapsed="false" customWidth="false" hidden="false" outlineLevel="0" max="12" min="9" style="1" width="8.89"/>
    <col collapsed="false" customWidth="true" hidden="false" outlineLevel="0" max="13" min="13" style="1" width="23.66"/>
    <col collapsed="false" customWidth="true" hidden="false" outlineLevel="0" max="14" min="14" style="1" width="20.45"/>
    <col collapsed="false" customWidth="false" hidden="false" outlineLevel="0" max="1020" min="15" style="1" width="8.89"/>
    <col collapsed="false" customWidth="true" hidden="false" outlineLevel="0" max="1024" min="1021" style="0" width="11.52"/>
  </cols>
  <sheetData>
    <row r="1" customFormat="false" ht="23.85" hidden="false" customHeight="false" outlineLevel="0" collapsed="false">
      <c r="A1" s="2"/>
      <c r="B1" s="3"/>
      <c r="C1" s="4"/>
      <c r="D1" s="5" t="s">
        <v>0</v>
      </c>
      <c r="E1" s="5" t="s">
        <v>1</v>
      </c>
      <c r="F1" s="6" t="s">
        <v>2</v>
      </c>
      <c r="G1" s="7" t="s">
        <v>3</v>
      </c>
      <c r="H1" s="7" t="s">
        <v>4</v>
      </c>
    </row>
    <row r="2" customFormat="false" ht="12.75" hidden="false" customHeight="false" outlineLevel="0" collapsed="false">
      <c r="A2" s="1" t="n">
        <v>1</v>
      </c>
      <c r="B2" s="1" t="n">
        <v>1</v>
      </c>
      <c r="C2" s="1" t="n">
        <v>20</v>
      </c>
      <c r="D2" s="8" t="n">
        <v>563732.403</v>
      </c>
      <c r="E2" s="8" t="n">
        <v>123821.478</v>
      </c>
      <c r="F2" s="8" t="n">
        <v>395.783</v>
      </c>
      <c r="G2" s="8" t="n">
        <v>0</v>
      </c>
      <c r="H2" s="8" t="n">
        <v>0</v>
      </c>
    </row>
    <row r="3" customFormat="false" ht="12.75" hidden="false" customHeight="false" outlineLevel="0" collapsed="false">
      <c r="A3" s="1" t="n">
        <v>1</v>
      </c>
      <c r="B3" s="1" t="n">
        <v>2</v>
      </c>
      <c r="C3" s="1" t="n">
        <v>20</v>
      </c>
      <c r="D3" s="8" t="n">
        <v>563736.424</v>
      </c>
      <c r="E3" s="8" t="n">
        <v>123824.8</v>
      </c>
      <c r="F3" s="8" t="n">
        <v>395.134</v>
      </c>
      <c r="G3" s="8" t="n">
        <f aca="false">SQRT((D3-D2)^2+(E3-E2)^2)</f>
        <v>5.21575737545338</v>
      </c>
      <c r="H3" s="8" t="n">
        <f aca="false">H2+G3</f>
        <v>5.21575737545338</v>
      </c>
    </row>
    <row r="4" customFormat="false" ht="12.75" hidden="false" customHeight="false" outlineLevel="0" collapsed="false">
      <c r="A4" s="1" t="n">
        <v>1</v>
      </c>
      <c r="B4" s="1" t="n">
        <v>3</v>
      </c>
      <c r="C4" s="1" t="n">
        <v>11</v>
      </c>
      <c r="D4" s="8" t="n">
        <v>563740.482</v>
      </c>
      <c r="E4" s="8" t="n">
        <v>123828.154</v>
      </c>
      <c r="F4" s="8" t="n">
        <v>394.97</v>
      </c>
      <c r="G4" s="8" t="n">
        <f aca="false">SQRT((D4-D3)^2+(E4-E3)^2)</f>
        <v>5.26466333203078</v>
      </c>
      <c r="H4" s="8" t="n">
        <f aca="false">H3+G4</f>
        <v>10.4804207074842</v>
      </c>
    </row>
    <row r="5" customFormat="false" ht="12.75" hidden="false" customHeight="false" outlineLevel="0" collapsed="false">
      <c r="A5" s="1" t="n">
        <v>1</v>
      </c>
      <c r="B5" s="1" t="n">
        <v>4</v>
      </c>
      <c r="C5" s="1" t="n">
        <v>10</v>
      </c>
      <c r="D5" s="8" t="n">
        <v>563741.755</v>
      </c>
      <c r="E5" s="8" t="n">
        <v>123829.205</v>
      </c>
      <c r="F5" s="8" t="n">
        <v>395.268</v>
      </c>
      <c r="G5" s="8" t="n">
        <f aca="false">SQRT((D5-D4)^2+(E5-E4)^2)</f>
        <v>1.65079677735571</v>
      </c>
      <c r="H5" s="8" t="n">
        <f aca="false">H4+G5</f>
        <v>12.1312174848399</v>
      </c>
    </row>
    <row r="6" customFormat="false" ht="13.5" hidden="false" customHeight="true" outlineLevel="0" collapsed="false">
      <c r="A6" s="1" t="n">
        <v>1</v>
      </c>
      <c r="B6" s="1" t="n">
        <v>5</v>
      </c>
      <c r="C6" s="1" t="n">
        <v>14</v>
      </c>
      <c r="D6" s="8" t="n">
        <v>563743.716</v>
      </c>
      <c r="E6" s="8" t="n">
        <v>123830.825</v>
      </c>
      <c r="F6" s="8" t="n">
        <v>394.864</v>
      </c>
      <c r="G6" s="8" t="n">
        <f aca="false">SQRT((D6-D5)^2+(E6-E5)^2)</f>
        <v>2.54360393930051</v>
      </c>
      <c r="H6" s="8" t="n">
        <f aca="false">H5+G6</f>
        <v>14.6748214241404</v>
      </c>
    </row>
    <row r="7" customFormat="false" ht="12.75" hidden="false" customHeight="false" outlineLevel="0" collapsed="false">
      <c r="A7" s="1" t="n">
        <v>1</v>
      </c>
      <c r="B7" s="1" t="n">
        <v>6</v>
      </c>
      <c r="C7" s="1" t="n">
        <v>12</v>
      </c>
      <c r="D7" s="8" t="n">
        <v>563745.054</v>
      </c>
      <c r="E7" s="8" t="n">
        <v>123831.931</v>
      </c>
      <c r="F7" s="8" t="n">
        <v>394.119</v>
      </c>
      <c r="G7" s="8" t="n">
        <f aca="false">SQRT((D7-D6)^2+(E7-E6)^2)</f>
        <v>1.7359377868949</v>
      </c>
      <c r="H7" s="8" t="n">
        <f aca="false">H6+G7</f>
        <v>16.4107592110353</v>
      </c>
    </row>
    <row r="8" customFormat="false" ht="12.75" hidden="false" customHeight="false" outlineLevel="0" collapsed="false">
      <c r="A8" s="1" t="n">
        <v>1</v>
      </c>
      <c r="B8" s="1" t="n">
        <v>7</v>
      </c>
      <c r="C8" s="1" t="n">
        <v>12</v>
      </c>
      <c r="D8" s="8" t="n">
        <v>563747.102</v>
      </c>
      <c r="E8" s="8" t="n">
        <v>123833.623</v>
      </c>
      <c r="F8" s="8" t="n">
        <v>393.198</v>
      </c>
      <c r="G8" s="8" t="n">
        <f aca="false">SQRT((D8-D7)^2+(E8-E7)^2)</f>
        <v>2.65653307900269</v>
      </c>
      <c r="H8" s="8" t="n">
        <f aca="false">H7+G8</f>
        <v>19.067292290038</v>
      </c>
    </row>
    <row r="9" customFormat="false" ht="12.75" hidden="false" customHeight="false" outlineLevel="0" collapsed="false">
      <c r="A9" s="1" t="n">
        <v>1</v>
      </c>
      <c r="B9" s="1" t="n">
        <v>8</v>
      </c>
      <c r="C9" s="1" t="n">
        <v>12</v>
      </c>
      <c r="D9" s="8" t="n">
        <v>563750.012</v>
      </c>
      <c r="E9" s="8" t="n">
        <v>123836.028</v>
      </c>
      <c r="F9" s="8" t="n">
        <v>393.545</v>
      </c>
      <c r="G9" s="8" t="n">
        <f aca="false">SQRT((D9-D8)^2+(E9-E8)^2)</f>
        <v>3.77519867029328</v>
      </c>
      <c r="H9" s="8" t="n">
        <f aca="false">H8+G9</f>
        <v>22.8424909603313</v>
      </c>
    </row>
    <row r="10" customFormat="false" ht="12.75" hidden="false" customHeight="false" outlineLevel="0" collapsed="false">
      <c r="A10" s="1" t="n">
        <v>1</v>
      </c>
      <c r="B10" s="1" t="n">
        <v>9</v>
      </c>
      <c r="C10" s="1" t="n">
        <v>12</v>
      </c>
      <c r="D10" s="8" t="n">
        <v>563751.314</v>
      </c>
      <c r="E10" s="8" t="n">
        <v>123837.104</v>
      </c>
      <c r="F10" s="8" t="n">
        <v>393.602</v>
      </c>
      <c r="G10" s="8" t="n">
        <f aca="false">SQRT((D10-D9)^2+(E10-E9)^2)</f>
        <v>1.6890766708671</v>
      </c>
      <c r="H10" s="8" t="n">
        <f aca="false">H9+G10</f>
        <v>24.5315676311984</v>
      </c>
    </row>
    <row r="11" customFormat="false" ht="12.75" hidden="false" customHeight="false" outlineLevel="0" collapsed="false">
      <c r="A11" s="1" t="n">
        <v>1</v>
      </c>
      <c r="B11" s="1" t="n">
        <v>10</v>
      </c>
      <c r="C11" s="1" t="n">
        <v>12</v>
      </c>
      <c r="D11" s="8" t="n">
        <v>563752.271</v>
      </c>
      <c r="E11" s="8" t="n">
        <v>123837.894</v>
      </c>
      <c r="F11" s="8" t="n">
        <v>393.857</v>
      </c>
      <c r="G11" s="8" t="n">
        <f aca="false">SQRT((D11-D10)^2+(E11-E10)^2)</f>
        <v>1.24094681589046</v>
      </c>
      <c r="H11" s="8" t="n">
        <f aca="false">H10+G11</f>
        <v>25.7725144470888</v>
      </c>
    </row>
    <row r="12" customFormat="false" ht="12.75" hidden="false" customHeight="false" outlineLevel="0" collapsed="false">
      <c r="A12" s="1" t="n">
        <v>1</v>
      </c>
      <c r="B12" s="1" t="n">
        <v>11</v>
      </c>
      <c r="C12" s="1" t="n">
        <v>12</v>
      </c>
      <c r="D12" s="8" t="n">
        <v>563753.576</v>
      </c>
      <c r="E12" s="8" t="n">
        <v>123838.972</v>
      </c>
      <c r="F12" s="8" t="n">
        <v>393.818</v>
      </c>
      <c r="G12" s="8" t="n">
        <f aca="false">SQRT((D12-D11)^2+(E12-E11)^2)</f>
        <v>1.69266328610297</v>
      </c>
      <c r="H12" s="8" t="n">
        <f aca="false">H11+G12</f>
        <v>27.4651777331918</v>
      </c>
    </row>
    <row r="13" customFormat="false" ht="12.75" hidden="false" customHeight="false" outlineLevel="0" collapsed="false">
      <c r="A13" s="1" t="n">
        <v>1</v>
      </c>
      <c r="B13" s="1" t="n">
        <v>12</v>
      </c>
      <c r="C13" s="1" t="n">
        <v>12</v>
      </c>
      <c r="D13" s="8" t="n">
        <v>563755.009</v>
      </c>
      <c r="E13" s="8" t="n">
        <v>123840.157</v>
      </c>
      <c r="F13" s="8" t="n">
        <v>392.882</v>
      </c>
      <c r="G13" s="8" t="n">
        <f aca="false">SQRT((D13-D12)^2+(E13-E12)^2)</f>
        <v>1.85949294161523</v>
      </c>
      <c r="H13" s="8" t="n">
        <f aca="false">H12+G13</f>
        <v>29.324670674807</v>
      </c>
    </row>
    <row r="14" customFormat="false" ht="12.75" hidden="false" customHeight="false" outlineLevel="0" collapsed="false">
      <c r="A14" s="1" t="n">
        <v>1</v>
      </c>
      <c r="B14" s="1" t="n">
        <v>13</v>
      </c>
      <c r="C14" s="1" t="n">
        <v>12</v>
      </c>
      <c r="D14" s="8" t="n">
        <v>563756.804</v>
      </c>
      <c r="E14" s="8" t="n">
        <v>123841.64</v>
      </c>
      <c r="F14" s="8" t="n">
        <v>390.948</v>
      </c>
      <c r="G14" s="8" t="n">
        <f aca="false">SQRT((D14-D13)^2+(E14-E13)^2)</f>
        <v>2.32837153395445</v>
      </c>
      <c r="H14" s="8" t="n">
        <f aca="false">H13+G14</f>
        <v>31.6530422087615</v>
      </c>
    </row>
    <row r="15" customFormat="false" ht="12.75" hidden="false" customHeight="false" outlineLevel="0" collapsed="false">
      <c r="A15" s="1" t="n">
        <v>1</v>
      </c>
      <c r="B15" s="1" t="n">
        <v>14</v>
      </c>
      <c r="C15" s="1" t="n">
        <v>12</v>
      </c>
      <c r="D15" s="8" t="n">
        <v>563757.165</v>
      </c>
      <c r="E15" s="8" t="n">
        <v>123841.938</v>
      </c>
      <c r="F15" s="8" t="n">
        <v>389.906</v>
      </c>
      <c r="G15" s="8" t="n">
        <f aca="false">SQRT((D15-D14)^2+(E15-E14)^2)</f>
        <v>0.468107893568739</v>
      </c>
      <c r="H15" s="8" t="n">
        <f aca="false">H14+G15</f>
        <v>32.1211501023302</v>
      </c>
    </row>
    <row r="16" customFormat="false" ht="12.75" hidden="false" customHeight="false" outlineLevel="0" collapsed="false">
      <c r="A16" s="1" t="n">
        <v>1</v>
      </c>
      <c r="B16" s="1" t="n">
        <v>15</v>
      </c>
      <c r="C16" s="1" t="n">
        <v>22</v>
      </c>
      <c r="D16" s="8" t="n">
        <v>563758.016</v>
      </c>
      <c r="E16" s="8" t="n">
        <v>123842.641</v>
      </c>
      <c r="F16" s="8" t="n">
        <v>389.301</v>
      </c>
      <c r="G16" s="8" t="n">
        <f aca="false">SQRT((D16-D15)^2+(E16-E15)^2)</f>
        <v>1.10381610780745</v>
      </c>
      <c r="H16" s="8" t="n">
        <f aca="false">H15+G16</f>
        <v>33.2249662101376</v>
      </c>
    </row>
    <row r="17" customFormat="false" ht="12.75" hidden="false" customHeight="false" outlineLevel="0" collapsed="false">
      <c r="A17" s="1" t="n">
        <v>1</v>
      </c>
      <c r="B17" s="1" t="n">
        <v>16</v>
      </c>
      <c r="C17" s="1" t="n">
        <v>22</v>
      </c>
      <c r="D17" s="8" t="n">
        <v>563758.64</v>
      </c>
      <c r="E17" s="8" t="n">
        <v>123843.157</v>
      </c>
      <c r="F17" s="8" t="n">
        <v>388.47</v>
      </c>
      <c r="G17" s="8" t="n">
        <f aca="false">SQRT((D17-D16)^2+(E17-E16)^2)</f>
        <v>0.809711059631381</v>
      </c>
      <c r="H17" s="8" t="n">
        <f aca="false">H16+G17</f>
        <v>34.034677269769</v>
      </c>
    </row>
    <row r="18" customFormat="false" ht="12.75" hidden="false" customHeight="false" outlineLevel="0" collapsed="false">
      <c r="A18" s="1" t="n">
        <v>1</v>
      </c>
      <c r="B18" s="1" t="n">
        <v>17</v>
      </c>
      <c r="C18" s="1" t="n">
        <v>19</v>
      </c>
      <c r="D18" s="8" t="n">
        <v>563759.283</v>
      </c>
      <c r="E18" s="8" t="n">
        <v>123843.689</v>
      </c>
      <c r="F18" s="8" t="n">
        <v>388.18</v>
      </c>
      <c r="G18" s="8" t="n">
        <f aca="false">SQRT((D18-D17)^2+(E18-E17)^2)</f>
        <v>0.834549579140121</v>
      </c>
      <c r="H18" s="8" t="n">
        <f aca="false">H17+G18</f>
        <v>34.8692268489092</v>
      </c>
    </row>
    <row r="19" customFormat="false" ht="12.75" hidden="false" customHeight="false" outlineLevel="0" collapsed="false">
      <c r="A19" s="1" t="n">
        <v>1</v>
      </c>
      <c r="B19" s="1" t="n">
        <v>18</v>
      </c>
      <c r="C19" s="1" t="n">
        <v>19</v>
      </c>
      <c r="D19" s="8" t="n">
        <v>563760.539</v>
      </c>
      <c r="E19" s="8" t="n">
        <v>123844.726</v>
      </c>
      <c r="F19" s="8" t="n">
        <v>387.63</v>
      </c>
      <c r="G19" s="8" t="n">
        <f aca="false">SQRT((D19-D18)^2+(E19-E18)^2)</f>
        <v>1.62877407881866</v>
      </c>
      <c r="H19" s="8" t="n">
        <f aca="false">H18+G19</f>
        <v>36.4980009277278</v>
      </c>
    </row>
    <row r="20" customFormat="false" ht="12.75" hidden="false" customHeight="false" outlineLevel="0" collapsed="false">
      <c r="A20" s="1" t="n">
        <v>1</v>
      </c>
      <c r="B20" s="1" t="n">
        <v>19</v>
      </c>
      <c r="C20" s="1" t="n">
        <v>19</v>
      </c>
      <c r="D20" s="8" t="n">
        <v>563761.728</v>
      </c>
      <c r="E20" s="8" t="n">
        <v>123845.708</v>
      </c>
      <c r="F20" s="8" t="n">
        <v>387.67</v>
      </c>
      <c r="G20" s="8" t="n">
        <f aca="false">SQRT((D20-D19)^2+(E20-E19)^2)</f>
        <v>1.54209111275505</v>
      </c>
      <c r="H20" s="8" t="n">
        <f aca="false">H19+G20</f>
        <v>38.0400920404829</v>
      </c>
    </row>
    <row r="21" customFormat="false" ht="12.75" hidden="false" customHeight="false" outlineLevel="0" collapsed="false">
      <c r="A21" s="1" t="n">
        <v>1</v>
      </c>
      <c r="B21" s="1" t="n">
        <v>20</v>
      </c>
      <c r="C21" s="1" t="n">
        <v>19</v>
      </c>
      <c r="D21" s="8" t="n">
        <v>563762.381</v>
      </c>
      <c r="E21" s="8" t="n">
        <v>123846.248</v>
      </c>
      <c r="F21" s="8" t="n">
        <v>387.71</v>
      </c>
      <c r="G21" s="8" t="n">
        <f aca="false">SQRT((D21-D20)^2+(E21-E20)^2)</f>
        <v>0.84735411728112</v>
      </c>
      <c r="H21" s="8" t="n">
        <f aca="false">H20+G21</f>
        <v>38.887446157764</v>
      </c>
    </row>
    <row r="22" customFormat="false" ht="12.75" hidden="false" customHeight="false" outlineLevel="0" collapsed="false">
      <c r="A22" s="1" t="n">
        <v>1</v>
      </c>
      <c r="B22" s="1" t="n">
        <v>21</v>
      </c>
      <c r="C22" s="1" t="n">
        <v>19</v>
      </c>
      <c r="D22" s="8" t="n">
        <v>563763.742</v>
      </c>
      <c r="E22" s="8" t="n">
        <v>123847.373</v>
      </c>
      <c r="F22" s="8" t="n">
        <v>387.71</v>
      </c>
      <c r="G22" s="8" t="n">
        <f aca="false">SQRT((D22-D21)^2+(E22-E21)^2)</f>
        <v>1.76577065322039</v>
      </c>
      <c r="H22" s="8" t="n">
        <f aca="false">H21+G22</f>
        <v>40.6532168109844</v>
      </c>
    </row>
    <row r="23" customFormat="false" ht="12.75" hidden="false" customHeight="false" outlineLevel="0" collapsed="false">
      <c r="A23" s="1" t="n">
        <v>1</v>
      </c>
      <c r="B23" s="1" t="n">
        <v>22</v>
      </c>
      <c r="C23" s="1" t="n">
        <v>19</v>
      </c>
      <c r="D23" s="8" t="n">
        <v>563764.372</v>
      </c>
      <c r="E23" s="8" t="n">
        <v>123847.893</v>
      </c>
      <c r="F23" s="8" t="n">
        <v>387.68</v>
      </c>
      <c r="G23" s="8" t="n">
        <f aca="false">SQRT((D23-D22)^2+(E23-E22)^2)</f>
        <v>0.816884324733295</v>
      </c>
      <c r="H23" s="8" t="n">
        <f aca="false">H22+G23</f>
        <v>41.4701011357177</v>
      </c>
    </row>
    <row r="24" customFormat="false" ht="12.75" hidden="false" customHeight="false" outlineLevel="0" collapsed="false">
      <c r="A24" s="1" t="n">
        <v>1</v>
      </c>
      <c r="B24" s="1" t="n">
        <v>23</v>
      </c>
      <c r="C24" s="1" t="n">
        <v>19</v>
      </c>
      <c r="D24" s="8" t="n">
        <v>563765.334</v>
      </c>
      <c r="E24" s="8" t="n">
        <v>123848.688</v>
      </c>
      <c r="F24" s="8" t="n">
        <v>387.68</v>
      </c>
      <c r="G24" s="8" t="n">
        <f aca="false">SQRT((D24-D23)^2+(E24-E23)^2)</f>
        <v>1.24798597752872</v>
      </c>
      <c r="H24" s="8" t="n">
        <f aca="false">H23+G24</f>
        <v>42.7180871132464</v>
      </c>
    </row>
    <row r="25" customFormat="false" ht="12.75" hidden="false" customHeight="false" outlineLevel="0" collapsed="false">
      <c r="A25" s="1" t="n">
        <v>1</v>
      </c>
      <c r="B25" s="1" t="n">
        <v>24</v>
      </c>
      <c r="C25" s="1" t="n">
        <v>19</v>
      </c>
      <c r="D25" s="8" t="n">
        <v>563766.036</v>
      </c>
      <c r="E25" s="8" t="n">
        <v>123849.268</v>
      </c>
      <c r="F25" s="8" t="n">
        <v>387.64</v>
      </c>
      <c r="G25" s="8" t="n">
        <f aca="false">SQRT((D25-D24)^2+(E25-E24)^2)</f>
        <v>0.910606391316562</v>
      </c>
      <c r="H25" s="8" t="n">
        <f aca="false">H24+G25</f>
        <v>43.628693504563</v>
      </c>
    </row>
    <row r="26" customFormat="false" ht="12.75" hidden="false" customHeight="false" outlineLevel="0" collapsed="false">
      <c r="A26" s="1" t="n">
        <v>1</v>
      </c>
      <c r="B26" s="1" t="n">
        <v>25</v>
      </c>
      <c r="C26" s="1" t="n">
        <v>19</v>
      </c>
      <c r="D26" s="8" t="n">
        <v>563766.733</v>
      </c>
      <c r="E26" s="8" t="n">
        <v>123849.844</v>
      </c>
      <c r="F26" s="8" t="n">
        <v>387.58</v>
      </c>
      <c r="G26" s="8" t="n">
        <f aca="false">SQRT((D26-D25)^2+(E26-E25)^2)</f>
        <v>0.904204069921216</v>
      </c>
      <c r="H26" s="8" t="n">
        <f aca="false">H25+G26</f>
        <v>44.5328975744842</v>
      </c>
    </row>
    <row r="27" customFormat="false" ht="12.75" hidden="false" customHeight="false" outlineLevel="0" collapsed="false">
      <c r="A27" s="1" t="n">
        <v>1</v>
      </c>
      <c r="B27" s="1" t="n">
        <v>26</v>
      </c>
      <c r="C27" s="1" t="n">
        <v>19</v>
      </c>
      <c r="D27" s="8" t="n">
        <v>563767.618</v>
      </c>
      <c r="E27" s="8" t="n">
        <v>123850.575</v>
      </c>
      <c r="F27" s="8" t="n">
        <v>387.69</v>
      </c>
      <c r="G27" s="8" t="n">
        <f aca="false">SQRT((D27-D26)^2+(E27-E26)^2)</f>
        <v>1.14786148990902</v>
      </c>
      <c r="H27" s="8" t="n">
        <f aca="false">H26+G27</f>
        <v>45.6807590643932</v>
      </c>
    </row>
    <row r="28" customFormat="false" ht="12.75" hidden="false" customHeight="false" outlineLevel="0" collapsed="false">
      <c r="A28" s="1" t="n">
        <v>1</v>
      </c>
      <c r="B28" s="1" t="n">
        <v>27</v>
      </c>
      <c r="C28" s="1" t="n">
        <v>19</v>
      </c>
      <c r="D28" s="8" t="n">
        <v>563768.443</v>
      </c>
      <c r="E28" s="8" t="n">
        <v>123851.256</v>
      </c>
      <c r="F28" s="8" t="n">
        <v>387.63</v>
      </c>
      <c r="G28" s="8" t="n">
        <f aca="false">SQRT((D28-D27)^2+(E28-E27)^2)</f>
        <v>1.06975978608232</v>
      </c>
      <c r="H28" s="8" t="n">
        <f aca="false">H27+G28</f>
        <v>46.7505188504755</v>
      </c>
    </row>
    <row r="29" customFormat="false" ht="12.75" hidden="false" customHeight="false" outlineLevel="0" collapsed="false">
      <c r="A29" s="1" t="n">
        <v>1</v>
      </c>
      <c r="B29" s="1" t="n">
        <v>28</v>
      </c>
      <c r="C29" s="1" t="n">
        <v>19</v>
      </c>
      <c r="D29" s="8" t="n">
        <v>563769.647</v>
      </c>
      <c r="E29" s="8" t="n">
        <v>123852.252</v>
      </c>
      <c r="F29" s="8" t="n">
        <v>387.63</v>
      </c>
      <c r="G29" s="8" t="n">
        <f aca="false">SQRT((D29-D28)^2+(E29-E28)^2)</f>
        <v>1.56257223835041</v>
      </c>
      <c r="H29" s="8" t="n">
        <f aca="false">H28+G29</f>
        <v>48.3130910888259</v>
      </c>
    </row>
    <row r="30" customFormat="false" ht="12.75" hidden="false" customHeight="false" outlineLevel="0" collapsed="false">
      <c r="A30" s="1" t="n">
        <v>1</v>
      </c>
      <c r="B30" s="1" t="n">
        <v>29</v>
      </c>
      <c r="C30" s="1" t="n">
        <v>19</v>
      </c>
      <c r="D30" s="8" t="n">
        <v>563770.538</v>
      </c>
      <c r="E30" s="8" t="n">
        <v>123852.988</v>
      </c>
      <c r="F30" s="8" t="n">
        <v>387.66</v>
      </c>
      <c r="G30" s="8" t="n">
        <f aca="false">SQRT((D30-D29)^2+(E30-E29)^2)</f>
        <v>1.15567166613558</v>
      </c>
      <c r="H30" s="8" t="n">
        <f aca="false">H29+G30</f>
        <v>49.4687627549615</v>
      </c>
    </row>
    <row r="31" customFormat="false" ht="12.75" hidden="false" customHeight="false" outlineLevel="0" collapsed="false">
      <c r="A31" s="1" t="n">
        <v>1</v>
      </c>
      <c r="B31" s="1" t="n">
        <v>30</v>
      </c>
      <c r="C31" s="1" t="n">
        <v>19</v>
      </c>
      <c r="D31" s="8" t="n">
        <v>563771.56</v>
      </c>
      <c r="E31" s="8" t="n">
        <v>123853.832</v>
      </c>
      <c r="F31" s="8" t="n">
        <v>387.64</v>
      </c>
      <c r="G31" s="8" t="n">
        <f aca="false">SQRT((D31-D30)^2+(E31-E30)^2)</f>
        <v>1.32545086677241</v>
      </c>
      <c r="H31" s="8" t="n">
        <f aca="false">H30+G31</f>
        <v>50.7942136217339</v>
      </c>
    </row>
    <row r="32" customFormat="false" ht="12.75" hidden="false" customHeight="false" outlineLevel="0" collapsed="false">
      <c r="A32" s="1" t="n">
        <v>1</v>
      </c>
      <c r="B32" s="1" t="n">
        <v>31</v>
      </c>
      <c r="C32" s="1" t="n">
        <v>19</v>
      </c>
      <c r="D32" s="8" t="n">
        <v>563772.496</v>
      </c>
      <c r="E32" s="8" t="n">
        <v>123854.605</v>
      </c>
      <c r="F32" s="8" t="n">
        <v>387.73</v>
      </c>
      <c r="G32" s="8" t="n">
        <f aca="false">SQRT((D32-D31)^2+(E32-E31)^2)</f>
        <v>1.21392956961152</v>
      </c>
      <c r="H32" s="8" t="n">
        <f aca="false">H31+G32</f>
        <v>52.0081431913454</v>
      </c>
    </row>
    <row r="33" customFormat="false" ht="12.75" hidden="false" customHeight="false" outlineLevel="0" collapsed="false">
      <c r="A33" s="1" t="n">
        <v>1</v>
      </c>
      <c r="B33" s="1" t="n">
        <v>32</v>
      </c>
      <c r="C33" s="1" t="n">
        <v>19</v>
      </c>
      <c r="D33" s="8" t="n">
        <v>563773.421</v>
      </c>
      <c r="E33" s="8" t="n">
        <v>123855.37</v>
      </c>
      <c r="F33" s="8" t="n">
        <v>387.67</v>
      </c>
      <c r="G33" s="8" t="n">
        <f aca="false">SQRT((D33-D32)^2+(E33-E32)^2)</f>
        <v>1.20035411436371</v>
      </c>
      <c r="H33" s="8" t="n">
        <f aca="false">H32+G33</f>
        <v>53.2084973057091</v>
      </c>
    </row>
    <row r="34" customFormat="false" ht="12.75" hidden="false" customHeight="false" outlineLevel="0" collapsed="false">
      <c r="A34" s="1" t="n">
        <v>1</v>
      </c>
      <c r="B34" s="1" t="n">
        <v>33</v>
      </c>
      <c r="C34" s="1" t="n">
        <v>19</v>
      </c>
      <c r="D34" s="8" t="n">
        <v>563774.18</v>
      </c>
      <c r="E34" s="8" t="n">
        <v>123855.997</v>
      </c>
      <c r="F34" s="8" t="n">
        <v>387.7</v>
      </c>
      <c r="G34" s="8" t="n">
        <f aca="false">SQRT((D34-D33)^2+(E34-E33)^2)</f>
        <v>0.984484636816842</v>
      </c>
      <c r="H34" s="8" t="n">
        <f aca="false">H33+G34</f>
        <v>54.192981942526</v>
      </c>
    </row>
    <row r="35" customFormat="false" ht="12.75" hidden="false" customHeight="false" outlineLevel="0" collapsed="false">
      <c r="A35" s="1" t="n">
        <v>1</v>
      </c>
      <c r="B35" s="1" t="n">
        <v>34</v>
      </c>
      <c r="C35" s="1" t="n">
        <v>19</v>
      </c>
      <c r="D35" s="8" t="n">
        <v>563775.359</v>
      </c>
      <c r="E35" s="8" t="n">
        <v>123856.971</v>
      </c>
      <c r="F35" s="8" t="n">
        <v>387.87</v>
      </c>
      <c r="G35" s="8" t="n">
        <f aca="false">SQRT((D35-D34)^2+(E35-E34)^2)</f>
        <v>1.52928643491422</v>
      </c>
      <c r="H35" s="8" t="n">
        <f aca="false">H34+G35</f>
        <v>55.7222683774402</v>
      </c>
    </row>
    <row r="36" customFormat="false" ht="12.75" hidden="false" customHeight="false" outlineLevel="0" collapsed="false">
      <c r="A36" s="1" t="n">
        <v>1</v>
      </c>
      <c r="B36" s="1" t="n">
        <v>35</v>
      </c>
      <c r="C36" s="1" t="n">
        <v>19</v>
      </c>
      <c r="D36" s="8" t="n">
        <v>563776.269</v>
      </c>
      <c r="E36" s="8" t="n">
        <v>123857.723</v>
      </c>
      <c r="F36" s="8" t="n">
        <v>387.83</v>
      </c>
      <c r="G36" s="8" t="n">
        <f aca="false">SQRT((D36-D35)^2+(E36-E35)^2)</f>
        <v>1.18051005918506</v>
      </c>
      <c r="H36" s="8" t="n">
        <f aca="false">H35+G36</f>
        <v>56.9027784366253</v>
      </c>
    </row>
    <row r="37" customFormat="false" ht="12.75" hidden="false" customHeight="false" outlineLevel="0" collapsed="false">
      <c r="A37" s="1" t="n">
        <v>1</v>
      </c>
      <c r="B37" s="1" t="n">
        <v>36</v>
      </c>
      <c r="C37" s="1" t="n">
        <v>19</v>
      </c>
      <c r="D37" s="8" t="n">
        <v>563777.172</v>
      </c>
      <c r="E37" s="8" t="n">
        <v>123858.469</v>
      </c>
      <c r="F37" s="8" t="n">
        <v>387.74</v>
      </c>
      <c r="G37" s="8" t="n">
        <f aca="false">SQRT((D37-D36)^2+(E37-E36)^2)</f>
        <v>1.17129202169567</v>
      </c>
      <c r="H37" s="8" t="n">
        <f aca="false">H36+G37</f>
        <v>58.0740704583209</v>
      </c>
    </row>
    <row r="38" customFormat="false" ht="12.75" hidden="false" customHeight="false" outlineLevel="0" collapsed="false">
      <c r="A38" s="1" t="n">
        <v>1</v>
      </c>
      <c r="B38" s="1" t="n">
        <v>37</v>
      </c>
      <c r="C38" s="1" t="n">
        <v>19</v>
      </c>
      <c r="D38" s="8" t="n">
        <v>563778.083</v>
      </c>
      <c r="E38" s="8" t="n">
        <v>123859.222</v>
      </c>
      <c r="F38" s="8" t="n">
        <v>387.71</v>
      </c>
      <c r="G38" s="8" t="n">
        <f aca="false">SQRT((D38-D37)^2+(E38-E37)^2)</f>
        <v>1.18191793282328</v>
      </c>
      <c r="H38" s="8" t="n">
        <f aca="false">H37+G38</f>
        <v>59.2559883911442</v>
      </c>
    </row>
    <row r="39" customFormat="false" ht="12.75" hidden="false" customHeight="false" outlineLevel="0" collapsed="false">
      <c r="A39" s="1" t="n">
        <v>1</v>
      </c>
      <c r="B39" s="1" t="n">
        <v>38</v>
      </c>
      <c r="C39" s="1" t="n">
        <v>19</v>
      </c>
      <c r="D39" s="8" t="n">
        <v>563778.972</v>
      </c>
      <c r="E39" s="8" t="n">
        <v>123859.956</v>
      </c>
      <c r="F39" s="8" t="n">
        <v>387.68</v>
      </c>
      <c r="G39" s="8" t="n">
        <f aca="false">SQRT((D39-D38)^2+(E39-E38)^2)</f>
        <v>1.15285601874517</v>
      </c>
      <c r="H39" s="8" t="n">
        <f aca="false">H38+G39</f>
        <v>60.4088444098894</v>
      </c>
    </row>
    <row r="40" customFormat="false" ht="12.75" hidden="false" customHeight="false" outlineLevel="0" collapsed="false">
      <c r="A40" s="1" t="n">
        <v>1</v>
      </c>
      <c r="B40" s="1" t="n">
        <v>39</v>
      </c>
      <c r="C40" s="1" t="n">
        <v>19</v>
      </c>
      <c r="D40" s="8" t="n">
        <v>563779.666</v>
      </c>
      <c r="E40" s="8" t="n">
        <v>123860.53</v>
      </c>
      <c r="F40" s="8" t="n">
        <v>387.67</v>
      </c>
      <c r="G40" s="8" t="n">
        <f aca="false">SQRT((D40-D39)^2+(E40-E39)^2)</f>
        <v>0.90061756590509</v>
      </c>
      <c r="H40" s="8" t="n">
        <f aca="false">H39+G40</f>
        <v>61.3094619757945</v>
      </c>
    </row>
    <row r="41" customFormat="false" ht="12.75" hidden="false" customHeight="false" outlineLevel="0" collapsed="false">
      <c r="A41" s="1" t="n">
        <v>1</v>
      </c>
      <c r="B41" s="1" t="n">
        <v>40</v>
      </c>
      <c r="C41" s="1" t="n">
        <v>19</v>
      </c>
      <c r="D41" s="8" t="n">
        <v>563780.631</v>
      </c>
      <c r="E41" s="8" t="n">
        <v>123861.327</v>
      </c>
      <c r="F41" s="8" t="n">
        <v>387.82</v>
      </c>
      <c r="G41" s="8" t="n">
        <f aca="false">SQRT((D41-D40)^2+(E41-E40)^2)</f>
        <v>1.25157261082657</v>
      </c>
      <c r="H41" s="8" t="n">
        <f aca="false">H40+G41</f>
        <v>62.561034586621</v>
      </c>
    </row>
    <row r="42" customFormat="false" ht="12.75" hidden="false" customHeight="false" outlineLevel="0" collapsed="false">
      <c r="A42" s="1" t="n">
        <v>1</v>
      </c>
      <c r="B42" s="1" t="n">
        <v>41</v>
      </c>
      <c r="C42" s="1" t="n">
        <v>19</v>
      </c>
      <c r="D42" s="8" t="n">
        <v>563781.543</v>
      </c>
      <c r="E42" s="8" t="n">
        <v>123862.081</v>
      </c>
      <c r="F42" s="8" t="n">
        <v>387.71</v>
      </c>
      <c r="G42" s="8" t="n">
        <f aca="false">SQRT((D42-D41)^2+(E42-E41)^2)</f>
        <v>1.18332582149181</v>
      </c>
      <c r="H42" s="8" t="n">
        <f aca="false">H41+G42</f>
        <v>63.7443604081128</v>
      </c>
    </row>
    <row r="43" customFormat="false" ht="12.75" hidden="false" customHeight="false" outlineLevel="0" collapsed="false">
      <c r="A43" s="1" t="n">
        <v>1</v>
      </c>
      <c r="B43" s="1" t="n">
        <v>42</v>
      </c>
      <c r="C43" s="1" t="n">
        <v>19</v>
      </c>
      <c r="D43" s="8" t="n">
        <v>563782.368</v>
      </c>
      <c r="E43" s="8" t="n">
        <v>123862.763</v>
      </c>
      <c r="F43" s="8" t="n">
        <v>387.76</v>
      </c>
      <c r="G43" s="8" t="n">
        <f aca="false">SQRT((D43-D42)^2+(E43-E42)^2)</f>
        <v>1.07039665550496</v>
      </c>
      <c r="H43" s="8" t="n">
        <f aca="false">H42+G43</f>
        <v>64.8147570636178</v>
      </c>
    </row>
    <row r="44" customFormat="false" ht="12.75" hidden="false" customHeight="false" outlineLevel="0" collapsed="false">
      <c r="A44" s="1" t="n">
        <v>1</v>
      </c>
      <c r="B44" s="1" t="n">
        <v>43</v>
      </c>
      <c r="C44" s="1" t="n">
        <v>19</v>
      </c>
      <c r="D44" s="8" t="n">
        <v>563783.679</v>
      </c>
      <c r="E44" s="8" t="n">
        <v>123863.846</v>
      </c>
      <c r="F44" s="8" t="n">
        <v>387.73</v>
      </c>
      <c r="G44" s="8" t="n">
        <f aca="false">SQRT((D44-D43)^2+(E44-E43)^2)</f>
        <v>1.70047346346923</v>
      </c>
      <c r="H44" s="8" t="n">
        <f aca="false">H43+G44</f>
        <v>66.515230527087</v>
      </c>
    </row>
    <row r="45" customFormat="false" ht="12.75" hidden="false" customHeight="false" outlineLevel="0" collapsed="false">
      <c r="A45" s="1" t="n">
        <v>1</v>
      </c>
      <c r="B45" s="1" t="n">
        <v>44</v>
      </c>
      <c r="C45" s="1" t="n">
        <v>19</v>
      </c>
      <c r="D45" s="8" t="n">
        <v>563784.747</v>
      </c>
      <c r="E45" s="8" t="n">
        <v>123864.728</v>
      </c>
      <c r="F45" s="8" t="n">
        <v>387.83</v>
      </c>
      <c r="G45" s="8" t="n">
        <f aca="false">SQRT((D45-D44)^2+(E45-E44)^2)</f>
        <v>1.38511660156553</v>
      </c>
      <c r="H45" s="8" t="n">
        <f aca="false">H44+G45</f>
        <v>67.9003471286526</v>
      </c>
    </row>
    <row r="46" customFormat="false" ht="12.75" hidden="false" customHeight="false" outlineLevel="0" collapsed="false">
      <c r="A46" s="1" t="n">
        <v>1</v>
      </c>
      <c r="B46" s="1" t="n">
        <v>45</v>
      </c>
      <c r="C46" s="1" t="n">
        <v>19</v>
      </c>
      <c r="D46" s="8" t="n">
        <v>563785.572</v>
      </c>
      <c r="E46" s="8" t="n">
        <v>123865.41</v>
      </c>
      <c r="F46" s="8" t="n">
        <v>387.84</v>
      </c>
      <c r="G46" s="8" t="n">
        <f aca="false">SQRT((D46-D45)^2+(E46-E45)^2)</f>
        <v>1.07039665550496</v>
      </c>
      <c r="H46" s="8" t="n">
        <f aca="false">H45+G46</f>
        <v>68.9707437841575</v>
      </c>
    </row>
    <row r="47" customFormat="false" ht="12.75" hidden="false" customHeight="false" outlineLevel="0" collapsed="false">
      <c r="A47" s="1" t="n">
        <v>1</v>
      </c>
      <c r="B47" s="1" t="n">
        <v>46</v>
      </c>
      <c r="C47" s="1" t="n">
        <v>19</v>
      </c>
      <c r="D47" s="8" t="n">
        <v>563786.559</v>
      </c>
      <c r="E47" s="8" t="n">
        <v>123866.225</v>
      </c>
      <c r="F47" s="8" t="n">
        <v>387.81</v>
      </c>
      <c r="G47" s="8" t="n">
        <f aca="false">SQRT((D47-D46)^2+(E47-E46)^2)</f>
        <v>1.27999765622205</v>
      </c>
      <c r="H47" s="8" t="n">
        <f aca="false">H46+G47</f>
        <v>70.2507414403796</v>
      </c>
    </row>
    <row r="48" customFormat="false" ht="12.75" hidden="false" customHeight="false" outlineLevel="0" collapsed="false">
      <c r="A48" s="1" t="n">
        <v>1</v>
      </c>
      <c r="B48" s="1" t="n">
        <v>47</v>
      </c>
      <c r="C48" s="1" t="n">
        <v>19</v>
      </c>
      <c r="D48" s="8" t="n">
        <v>563787.865</v>
      </c>
      <c r="E48" s="8" t="n">
        <v>123867.304</v>
      </c>
      <c r="F48" s="8" t="n">
        <v>387.88</v>
      </c>
      <c r="G48" s="8" t="n">
        <f aca="false">SQRT((D48-D47)^2+(E48-E47)^2)</f>
        <v>1.69407113190363</v>
      </c>
      <c r="H48" s="8" t="n">
        <f aca="false">H47+G48</f>
        <v>71.9448125722832</v>
      </c>
    </row>
    <row r="49" customFormat="false" ht="12.75" hidden="false" customHeight="false" outlineLevel="0" collapsed="false">
      <c r="A49" s="1" t="n">
        <v>1</v>
      </c>
      <c r="B49" s="1" t="n">
        <v>48</v>
      </c>
      <c r="C49" s="1" t="n">
        <v>19</v>
      </c>
      <c r="D49" s="8" t="n">
        <v>563788.945</v>
      </c>
      <c r="E49" s="8" t="n">
        <v>123868.197</v>
      </c>
      <c r="F49" s="8" t="n">
        <v>387.92</v>
      </c>
      <c r="G49" s="8" t="n">
        <f aca="false">SQRT((D49-D48)^2+(E49-E48)^2)</f>
        <v>1.40137396861189</v>
      </c>
      <c r="H49" s="8" t="n">
        <f aca="false">H48+G49</f>
        <v>73.3461865408951</v>
      </c>
    </row>
    <row r="50" customFormat="false" ht="12.75" hidden="false" customHeight="false" outlineLevel="0" collapsed="false">
      <c r="A50" s="1" t="n">
        <v>1</v>
      </c>
      <c r="B50" s="1" t="n">
        <v>49</v>
      </c>
      <c r="C50" s="1" t="n">
        <v>19</v>
      </c>
      <c r="D50" s="8" t="n">
        <v>563790.026</v>
      </c>
      <c r="E50" s="8" t="n">
        <v>123869.09</v>
      </c>
      <c r="F50" s="8" t="n">
        <v>387.95</v>
      </c>
      <c r="G50" s="8" t="n">
        <f aca="false">SQRT((D50-D49)^2+(E50-E49)^2)</f>
        <v>1.40214478567858</v>
      </c>
      <c r="H50" s="8" t="n">
        <f aca="false">H49+G50</f>
        <v>74.7483313265737</v>
      </c>
    </row>
    <row r="51" customFormat="false" ht="12.75" hidden="false" customHeight="false" outlineLevel="0" collapsed="false">
      <c r="A51" s="1" t="n">
        <v>1</v>
      </c>
      <c r="B51" s="1" t="n">
        <v>50</v>
      </c>
      <c r="C51" s="1" t="n">
        <v>19</v>
      </c>
      <c r="D51" s="8" t="n">
        <v>563790.934</v>
      </c>
      <c r="E51" s="8" t="n">
        <v>123869.84</v>
      </c>
      <c r="F51" s="8" t="n">
        <v>387.88</v>
      </c>
      <c r="G51" s="8" t="n">
        <f aca="false">SQRT((D51-D50)^2+(E51-E50)^2)</f>
        <v>1.17769435767439</v>
      </c>
      <c r="H51" s="8" t="n">
        <f aca="false">H50+G51</f>
        <v>75.9260256842481</v>
      </c>
    </row>
    <row r="52" customFormat="false" ht="12.75" hidden="false" customHeight="false" outlineLevel="0" collapsed="false">
      <c r="A52" s="1" t="n">
        <v>1</v>
      </c>
      <c r="B52" s="1" t="n">
        <v>51</v>
      </c>
      <c r="C52" s="1" t="n">
        <v>19</v>
      </c>
      <c r="D52" s="8" t="n">
        <v>563792.347</v>
      </c>
      <c r="E52" s="8" t="n">
        <v>123871.008</v>
      </c>
      <c r="F52" s="8" t="n">
        <v>387.94</v>
      </c>
      <c r="G52" s="8" t="n">
        <f aca="false">SQRT((D52-D51)^2+(E52-E51)^2)</f>
        <v>1.83324657366345</v>
      </c>
      <c r="H52" s="8" t="n">
        <f aca="false">H51+G52</f>
        <v>77.7592722579115</v>
      </c>
    </row>
    <row r="53" customFormat="false" ht="12.75" hidden="false" customHeight="false" outlineLevel="0" collapsed="false">
      <c r="A53" s="1" t="n">
        <v>1</v>
      </c>
      <c r="B53" s="1" t="n">
        <v>52</v>
      </c>
      <c r="C53" s="1" t="n">
        <v>19</v>
      </c>
      <c r="D53" s="8" t="n">
        <v>563793.403</v>
      </c>
      <c r="E53" s="8" t="n">
        <v>123871.88</v>
      </c>
      <c r="F53" s="8" t="n">
        <v>388.02</v>
      </c>
      <c r="G53" s="8" t="n">
        <f aca="false">SQRT((D53-D52)^2+(E53-E52)^2)</f>
        <v>1.36949625783124</v>
      </c>
      <c r="H53" s="8" t="n">
        <f aca="false">H52+G53</f>
        <v>79.1287685157428</v>
      </c>
    </row>
    <row r="54" customFormat="false" ht="12.75" hidden="false" customHeight="false" outlineLevel="0" collapsed="false">
      <c r="A54" s="1" t="n">
        <v>1</v>
      </c>
      <c r="B54" s="1" t="n">
        <v>53</v>
      </c>
      <c r="C54" s="1" t="n">
        <v>19</v>
      </c>
      <c r="D54" s="8" t="n">
        <v>563794.468</v>
      </c>
      <c r="E54" s="8" t="n">
        <v>123872.76</v>
      </c>
      <c r="F54" s="8" t="n">
        <v>388.02</v>
      </c>
      <c r="G54" s="8" t="n">
        <f aca="false">SQRT((D54-D53)^2+(E54-E53)^2)</f>
        <v>1.38152994895643</v>
      </c>
      <c r="H54" s="8" t="n">
        <f aca="false">H53+G54</f>
        <v>80.5102984646992</v>
      </c>
    </row>
    <row r="55" customFormat="false" ht="12.75" hidden="false" customHeight="false" outlineLevel="0" collapsed="false">
      <c r="A55" s="1" t="n">
        <v>1</v>
      </c>
      <c r="B55" s="1" t="n">
        <v>54</v>
      </c>
      <c r="C55" s="1" t="n">
        <v>19</v>
      </c>
      <c r="D55" s="8" t="n">
        <v>563795.383</v>
      </c>
      <c r="E55" s="8" t="n">
        <v>123873.517</v>
      </c>
      <c r="F55" s="8" t="n">
        <v>387.97</v>
      </c>
      <c r="G55" s="8" t="n">
        <f aca="false">SQRT((D55-D54)^2+(E55-E54)^2)</f>
        <v>1.187549577949</v>
      </c>
      <c r="H55" s="8" t="n">
        <f aca="false">H54+G55</f>
        <v>81.6978480426482</v>
      </c>
    </row>
    <row r="56" customFormat="false" ht="12.75" hidden="false" customHeight="false" outlineLevel="0" collapsed="false">
      <c r="A56" s="1" t="n">
        <v>1</v>
      </c>
      <c r="B56" s="1" t="n">
        <v>55</v>
      </c>
      <c r="C56" s="1" t="n">
        <v>19</v>
      </c>
      <c r="D56" s="8" t="n">
        <v>563796.42</v>
      </c>
      <c r="E56" s="8" t="n">
        <v>123874.374</v>
      </c>
      <c r="F56" s="8" t="n">
        <v>387.95</v>
      </c>
      <c r="G56" s="8" t="n">
        <f aca="false">SQRT((D56-D55)^2+(E56-E55)^2)</f>
        <v>1.34529476324128</v>
      </c>
      <c r="H56" s="8" t="n">
        <f aca="false">H55+G56</f>
        <v>83.0431428058895</v>
      </c>
    </row>
    <row r="57" customFormat="false" ht="12.75" hidden="false" customHeight="false" outlineLevel="0" collapsed="false">
      <c r="A57" s="1" t="n">
        <v>1</v>
      </c>
      <c r="B57" s="1" t="n">
        <v>56</v>
      </c>
      <c r="C57" s="1" t="n">
        <v>19</v>
      </c>
      <c r="D57" s="8" t="n">
        <v>563797.22</v>
      </c>
      <c r="E57" s="8" t="n">
        <v>123875.034</v>
      </c>
      <c r="F57" s="8" t="n">
        <v>387.99</v>
      </c>
      <c r="G57" s="8" t="n">
        <f aca="false">SQRT((D57-D56)^2+(E57-E56)^2)</f>
        <v>1.03711137294548</v>
      </c>
      <c r="H57" s="8" t="n">
        <f aca="false">H56+G57</f>
        <v>84.080254178835</v>
      </c>
    </row>
    <row r="58" customFormat="false" ht="12.75" hidden="false" customHeight="false" outlineLevel="0" collapsed="false">
      <c r="A58" s="1" t="n">
        <v>1</v>
      </c>
      <c r="B58" s="1" t="n">
        <v>57</v>
      </c>
      <c r="C58" s="1" t="n">
        <v>19</v>
      </c>
      <c r="D58" s="8" t="n">
        <v>563798.21</v>
      </c>
      <c r="E58" s="8" t="n">
        <v>123875.852</v>
      </c>
      <c r="F58" s="8" t="n">
        <v>387.94</v>
      </c>
      <c r="G58" s="8" t="n">
        <f aca="false">SQRT((D58-D57)^2+(E58-E57)^2)</f>
        <v>1.28422116474555</v>
      </c>
      <c r="H58" s="8" t="n">
        <f aca="false">H57+G58</f>
        <v>85.3644753435805</v>
      </c>
    </row>
    <row r="59" customFormat="false" ht="12.75" hidden="false" customHeight="false" outlineLevel="0" collapsed="false">
      <c r="A59" s="1" t="n">
        <v>1</v>
      </c>
      <c r="B59" s="1" t="n">
        <v>58</v>
      </c>
      <c r="C59" s="1" t="n">
        <v>19</v>
      </c>
      <c r="D59" s="8" t="n">
        <v>563798.845</v>
      </c>
      <c r="E59" s="8" t="n">
        <v>123876.377</v>
      </c>
      <c r="F59" s="8" t="n">
        <v>387.78</v>
      </c>
      <c r="G59" s="8" t="n">
        <f aca="false">SQRT((D59-D58)^2+(E59-E58)^2)</f>
        <v>0.823923540145392</v>
      </c>
      <c r="H59" s="8" t="n">
        <f aca="false">H58+G59</f>
        <v>86.1883988837259</v>
      </c>
    </row>
    <row r="60" customFormat="false" ht="12.75" hidden="false" customHeight="false" outlineLevel="0" collapsed="false">
      <c r="A60" s="1" t="n">
        <v>1</v>
      </c>
      <c r="B60" s="1" t="n">
        <v>59</v>
      </c>
      <c r="C60" s="1" t="n">
        <v>19</v>
      </c>
      <c r="D60" s="8" t="n">
        <v>563799.782</v>
      </c>
      <c r="E60" s="8" t="n">
        <v>123877.151</v>
      </c>
      <c r="F60" s="8" t="n">
        <v>387.71</v>
      </c>
      <c r="G60" s="8" t="n">
        <f aca="false">SQRT((D60-D59)^2+(E60-E59)^2)</f>
        <v>1.21533740174165</v>
      </c>
      <c r="H60" s="8" t="n">
        <f aca="false">H59+G60</f>
        <v>87.4037362854675</v>
      </c>
    </row>
    <row r="61" customFormat="false" ht="12.75" hidden="false" customHeight="false" outlineLevel="0" collapsed="false">
      <c r="A61" s="1" t="n">
        <v>1</v>
      </c>
      <c r="B61" s="1" t="n">
        <v>60</v>
      </c>
      <c r="C61" s="1" t="n">
        <v>19</v>
      </c>
      <c r="D61" s="8" t="n">
        <v>563800.814</v>
      </c>
      <c r="E61" s="8" t="n">
        <v>123878.003</v>
      </c>
      <c r="F61" s="8" t="n">
        <v>387.75</v>
      </c>
      <c r="G61" s="8" t="n">
        <f aca="false">SQRT((D61-D60)^2+(E61-E60)^2)</f>
        <v>1.33825558097535</v>
      </c>
      <c r="H61" s="8" t="n">
        <f aca="false">H60+G61</f>
        <v>88.7419918664429</v>
      </c>
    </row>
    <row r="62" customFormat="false" ht="12.75" hidden="false" customHeight="false" outlineLevel="0" collapsed="false">
      <c r="A62" s="1" t="n">
        <v>1</v>
      </c>
      <c r="B62" s="1" t="n">
        <v>61</v>
      </c>
      <c r="C62" s="1" t="n">
        <v>19</v>
      </c>
      <c r="D62" s="8" t="n">
        <v>563801.587</v>
      </c>
      <c r="E62" s="8" t="n">
        <v>123878.643</v>
      </c>
      <c r="F62" s="8" t="n">
        <v>387.62</v>
      </c>
      <c r="G62" s="8" t="n">
        <f aca="false">SQRT((D62-D61)^2+(E62-E61)^2)</f>
        <v>1.0035581697482</v>
      </c>
      <c r="H62" s="8" t="n">
        <f aca="false">H61+G62</f>
        <v>89.7455500361911</v>
      </c>
    </row>
    <row r="63" customFormat="false" ht="12.75" hidden="false" customHeight="false" outlineLevel="0" collapsed="false">
      <c r="A63" s="1" t="n">
        <v>1</v>
      </c>
      <c r="B63" s="1" t="n">
        <v>62</v>
      </c>
      <c r="C63" s="1" t="n">
        <v>19</v>
      </c>
      <c r="D63" s="8" t="n">
        <v>563802.325</v>
      </c>
      <c r="E63" s="8" t="n">
        <v>123879.252</v>
      </c>
      <c r="F63" s="8" t="n">
        <v>387.57</v>
      </c>
      <c r="G63" s="8" t="n">
        <f aca="false">SQRT((D63-D62)^2+(E63-E62)^2)</f>
        <v>0.956830705946497</v>
      </c>
      <c r="H63" s="8" t="n">
        <f aca="false">H62+G63</f>
        <v>90.7023807421376</v>
      </c>
    </row>
    <row r="64" customFormat="false" ht="12.75" hidden="false" customHeight="false" outlineLevel="0" collapsed="false">
      <c r="A64" s="1" t="n">
        <v>1</v>
      </c>
      <c r="B64" s="1" t="n">
        <v>63</v>
      </c>
      <c r="C64" s="1" t="n">
        <v>19</v>
      </c>
      <c r="D64" s="8" t="n">
        <v>563803.225</v>
      </c>
      <c r="E64" s="8" t="n">
        <v>123879.996</v>
      </c>
      <c r="F64" s="8" t="n">
        <v>387.51</v>
      </c>
      <c r="G64" s="8" t="n">
        <f aca="false">SQRT((D64-D63)^2+(E64-E63)^2)</f>
        <v>1.16770544233163</v>
      </c>
      <c r="H64" s="8" t="n">
        <f aca="false">H63+G64</f>
        <v>91.8700861844692</v>
      </c>
    </row>
    <row r="65" customFormat="false" ht="12.75" hidden="false" customHeight="false" outlineLevel="0" collapsed="false">
      <c r="A65" s="1" t="n">
        <v>1</v>
      </c>
      <c r="B65" s="1" t="n">
        <v>64</v>
      </c>
      <c r="C65" s="1" t="n">
        <v>19</v>
      </c>
      <c r="D65" s="8" t="n">
        <v>563803.897</v>
      </c>
      <c r="E65" s="8" t="n">
        <v>123880.552</v>
      </c>
      <c r="F65" s="8" t="n">
        <v>387.58</v>
      </c>
      <c r="G65" s="8" t="n">
        <f aca="false">SQRT((D65-D64)^2+(E65-E64)^2)</f>
        <v>0.872192639285635</v>
      </c>
      <c r="H65" s="8" t="n">
        <f aca="false">H64+G65</f>
        <v>92.7422788237549</v>
      </c>
    </row>
    <row r="66" customFormat="false" ht="12.75" hidden="false" customHeight="false" outlineLevel="0" collapsed="false">
      <c r="A66" s="1" t="n">
        <v>1</v>
      </c>
      <c r="B66" s="1" t="n">
        <v>65</v>
      </c>
      <c r="C66" s="1" t="n">
        <v>19</v>
      </c>
      <c r="D66" s="8" t="n">
        <v>563804.531</v>
      </c>
      <c r="E66" s="8" t="n">
        <v>123881.075</v>
      </c>
      <c r="F66" s="8" t="n">
        <v>387.55</v>
      </c>
      <c r="G66" s="8" t="n">
        <f aca="false">SQRT((D66-D65)^2+(E66-E65)^2)</f>
        <v>0.821878944828664</v>
      </c>
      <c r="H66" s="8" t="n">
        <f aca="false">H65+G66</f>
        <v>93.5641577685835</v>
      </c>
    </row>
    <row r="67" customFormat="false" ht="12.75" hidden="false" customHeight="false" outlineLevel="0" collapsed="false">
      <c r="A67" s="1" t="n">
        <v>1</v>
      </c>
      <c r="B67" s="1" t="n">
        <v>66</v>
      </c>
      <c r="C67" s="1" t="n">
        <v>19</v>
      </c>
      <c r="D67" s="8" t="n">
        <v>563805.183</v>
      </c>
      <c r="E67" s="8" t="n">
        <v>123881.614</v>
      </c>
      <c r="F67" s="8" t="n">
        <v>387.41</v>
      </c>
      <c r="G67" s="8" t="n">
        <f aca="false">SQRT((D67-D66)^2+(E67-E66)^2)</f>
        <v>0.845946215788612</v>
      </c>
      <c r="H67" s="8" t="n">
        <f aca="false">H66+G67</f>
        <v>94.4101039843721</v>
      </c>
    </row>
    <row r="68" customFormat="false" ht="12.75" hidden="false" customHeight="false" outlineLevel="0" collapsed="false">
      <c r="A68" s="1" t="n">
        <v>1</v>
      </c>
      <c r="B68" s="1" t="n">
        <v>67</v>
      </c>
      <c r="C68" s="1" t="n">
        <v>19</v>
      </c>
      <c r="D68" s="8" t="n">
        <v>563807.53</v>
      </c>
      <c r="E68" s="8" t="n">
        <v>123883.553</v>
      </c>
      <c r="F68" s="8" t="n">
        <v>389.272</v>
      </c>
      <c r="G68" s="8" t="n">
        <f aca="false">SQRT((D68-D67)^2+(E68-E67)^2)</f>
        <v>3.04436035979791</v>
      </c>
      <c r="H68" s="8" t="n">
        <f aca="false">H67+G68</f>
        <v>97.4544643441701</v>
      </c>
    </row>
    <row r="69" customFormat="false" ht="12.75" hidden="false" customHeight="false" outlineLevel="0" collapsed="false">
      <c r="A69" s="1" t="n">
        <v>1</v>
      </c>
      <c r="B69" s="1" t="n">
        <v>68</v>
      </c>
      <c r="C69" s="1" t="n">
        <v>19</v>
      </c>
      <c r="D69" s="8" t="n">
        <v>563807.836</v>
      </c>
      <c r="E69" s="8" t="n">
        <v>123883.806</v>
      </c>
      <c r="F69" s="8" t="n">
        <v>389.395</v>
      </c>
      <c r="G69" s="8" t="n">
        <f aca="false">SQRT((D69-D68)^2+(E69-E68)^2)</f>
        <v>0.397045337446039</v>
      </c>
      <c r="H69" s="8" t="n">
        <f aca="false">H68+G69</f>
        <v>97.8515096816161</v>
      </c>
    </row>
    <row r="70" customFormat="false" ht="12.75" hidden="false" customHeight="false" outlineLevel="0" collapsed="false">
      <c r="A70" s="1" t="n">
        <v>1</v>
      </c>
      <c r="B70" s="1" t="n">
        <v>69</v>
      </c>
      <c r="C70" s="1" t="n">
        <v>19</v>
      </c>
      <c r="D70" s="8" t="n">
        <v>563808.046</v>
      </c>
      <c r="E70" s="8" t="n">
        <v>123883.979</v>
      </c>
      <c r="F70" s="8" t="n">
        <v>389.558</v>
      </c>
      <c r="G70" s="8" t="n">
        <f aca="false">SQRT((D70-D69)^2+(E70-E69)^2)</f>
        <v>0.272082707991039</v>
      </c>
      <c r="H70" s="8" t="n">
        <f aca="false">H69+G70</f>
        <v>98.1235923896072</v>
      </c>
    </row>
    <row r="71" customFormat="false" ht="12.75" hidden="false" customHeight="false" outlineLevel="0" collapsed="false">
      <c r="A71" s="1" t="n">
        <v>1</v>
      </c>
      <c r="B71" s="1" t="n">
        <v>70</v>
      </c>
      <c r="C71" s="1" t="n">
        <v>19</v>
      </c>
      <c r="D71" s="8" t="n">
        <v>563808.187</v>
      </c>
      <c r="E71" s="8" t="n">
        <v>123884.096</v>
      </c>
      <c r="F71" s="8" t="n">
        <v>389.76</v>
      </c>
      <c r="G71" s="8" t="n">
        <f aca="false">SQRT((D71-D70)^2+(E71-E70)^2)</f>
        <v>0.183221177861492</v>
      </c>
      <c r="H71" s="8" t="n">
        <f aca="false">H70+G71</f>
        <v>98.3068135674687</v>
      </c>
    </row>
    <row r="72" customFormat="false" ht="12.75" hidden="false" customHeight="false" outlineLevel="0" collapsed="false">
      <c r="A72" s="1" t="n">
        <v>1</v>
      </c>
      <c r="B72" s="1" t="n">
        <v>71</v>
      </c>
      <c r="C72" s="1" t="n">
        <v>19</v>
      </c>
      <c r="D72" s="8" t="n">
        <v>563808.235</v>
      </c>
      <c r="E72" s="8" t="n">
        <v>123884.136</v>
      </c>
      <c r="F72" s="8" t="n">
        <v>389.904</v>
      </c>
      <c r="G72" s="8" t="n">
        <f aca="false">SQRT((D72-D71)^2+(E72-E71)^2)</f>
        <v>0.0624819973659502</v>
      </c>
      <c r="H72" s="8" t="n">
        <f aca="false">H71+G72</f>
        <v>98.3692955648346</v>
      </c>
    </row>
    <row r="73" customFormat="false" ht="12.75" hidden="false" customHeight="false" outlineLevel="0" collapsed="false">
      <c r="A73" s="1" t="n">
        <v>1</v>
      </c>
      <c r="B73" s="1" t="n">
        <v>72</v>
      </c>
      <c r="C73" s="1" t="n">
        <v>19</v>
      </c>
      <c r="D73" s="8" t="n">
        <v>563808.452</v>
      </c>
      <c r="E73" s="8" t="n">
        <v>123884.315</v>
      </c>
      <c r="F73" s="8" t="n">
        <v>390.013</v>
      </c>
      <c r="G73" s="8" t="n">
        <f aca="false">SQRT((D73-D72)^2+(E73-E72)^2)</f>
        <v>0.281300551063119</v>
      </c>
      <c r="H73" s="8" t="n">
        <f aca="false">H72+G73</f>
        <v>98.6505961158977</v>
      </c>
    </row>
    <row r="74" customFormat="false" ht="12.75" hidden="false" customHeight="false" outlineLevel="0" collapsed="false">
      <c r="A74" s="1" t="n">
        <v>1</v>
      </c>
      <c r="B74" s="1" t="n">
        <v>73</v>
      </c>
      <c r="C74" s="1" t="n">
        <v>26</v>
      </c>
      <c r="D74" s="8" t="n">
        <v>563808.583</v>
      </c>
      <c r="E74" s="8" t="n">
        <v>123884.423</v>
      </c>
      <c r="F74" s="8" t="n">
        <v>390.505</v>
      </c>
      <c r="G74" s="8" t="n">
        <f aca="false">SQRT((D74-D73)^2+(E74-E73)^2)</f>
        <v>0.169779268409396</v>
      </c>
      <c r="H74" s="8" t="n">
        <f aca="false">H73+G74</f>
        <v>98.8203753843071</v>
      </c>
    </row>
    <row r="75" customFormat="false" ht="12.75" hidden="false" customHeight="false" outlineLevel="0" collapsed="false">
      <c r="A75" s="1" t="n">
        <v>1</v>
      </c>
      <c r="B75" s="1" t="n">
        <v>74</v>
      </c>
      <c r="C75" s="1" t="n">
        <v>26</v>
      </c>
      <c r="D75" s="8" t="n">
        <v>563809.322</v>
      </c>
      <c r="E75" s="8" t="n">
        <v>123885.033</v>
      </c>
      <c r="F75" s="8" t="n">
        <v>391.213</v>
      </c>
      <c r="G75" s="8" t="n">
        <f aca="false">SQRT((D75-D74)^2+(E75-E74)^2)</f>
        <v>0.958238488106591</v>
      </c>
      <c r="H75" s="8" t="n">
        <f aca="false">H74+G75</f>
        <v>99.7786138724137</v>
      </c>
    </row>
    <row r="76" customFormat="false" ht="12.75" hidden="false" customHeight="false" outlineLevel="0" collapsed="false">
      <c r="A76" s="1" t="n">
        <v>1</v>
      </c>
      <c r="B76" s="1" t="n">
        <v>75</v>
      </c>
      <c r="C76" s="1" t="n">
        <v>11</v>
      </c>
      <c r="D76" s="8" t="n">
        <v>563811.414</v>
      </c>
      <c r="E76" s="8" t="n">
        <v>123886.762</v>
      </c>
      <c r="F76" s="8" t="n">
        <v>391.423</v>
      </c>
      <c r="G76" s="8" t="n">
        <f aca="false">SQRT((D76-D75)^2+(E76-E75)^2)</f>
        <v>2.71402008094946</v>
      </c>
      <c r="H76" s="8" t="n">
        <f aca="false">H75+G76</f>
        <v>102.492633953363</v>
      </c>
    </row>
    <row r="77" customFormat="false" ht="12.75" hidden="false" customHeight="false" outlineLevel="0" collapsed="false">
      <c r="A77" s="1" t="n">
        <v>1</v>
      </c>
      <c r="B77" s="1" t="n">
        <v>76</v>
      </c>
      <c r="C77" s="1" t="n">
        <v>11</v>
      </c>
      <c r="D77" s="8" t="n">
        <v>563811.464</v>
      </c>
      <c r="E77" s="8" t="n">
        <v>123886.803</v>
      </c>
      <c r="F77" s="8" t="n">
        <v>392.378</v>
      </c>
      <c r="G77" s="8" t="n">
        <f aca="false">SQRT((D77-D76)^2+(E77-E76)^2)</f>
        <v>0.064660652675693</v>
      </c>
      <c r="H77" s="8" t="n">
        <f aca="false">H76+G77</f>
        <v>102.557294606039</v>
      </c>
    </row>
    <row r="78" customFormat="false" ht="12.75" hidden="false" customHeight="false" outlineLevel="0" collapsed="false">
      <c r="A78" s="1" t="n">
        <v>1</v>
      </c>
      <c r="B78" s="1" t="n">
        <v>77</v>
      </c>
      <c r="C78" s="1" t="n">
        <v>12</v>
      </c>
      <c r="D78" s="8" t="n">
        <v>563812.012</v>
      </c>
      <c r="E78" s="8" t="n">
        <v>123887.256</v>
      </c>
      <c r="F78" s="8" t="n">
        <v>392.575</v>
      </c>
      <c r="G78" s="8" t="n">
        <f aca="false">SQRT((D78-D77)^2+(E78-E77)^2)</f>
        <v>0.710994374057589</v>
      </c>
      <c r="H78" s="8" t="n">
        <f aca="false">H77+G78</f>
        <v>103.268288980096</v>
      </c>
    </row>
    <row r="79" customFormat="false" ht="12.75" hidden="false" customHeight="false" outlineLevel="0" collapsed="false">
      <c r="A79" s="1" t="n">
        <v>1</v>
      </c>
      <c r="B79" s="1" t="n">
        <v>78</v>
      </c>
      <c r="C79" s="1" t="n">
        <v>12</v>
      </c>
      <c r="D79" s="8" t="n">
        <v>563812.828</v>
      </c>
      <c r="E79" s="8" t="n">
        <v>123887.93</v>
      </c>
      <c r="F79" s="8" t="n">
        <v>393.334</v>
      </c>
      <c r="G79" s="8" t="n">
        <f aca="false">SQRT((D79-D78)^2+(E79-E78)^2)</f>
        <v>1.05836288671942</v>
      </c>
      <c r="H79" s="8" t="n">
        <f aca="false">H78+G79</f>
        <v>104.326651866816</v>
      </c>
    </row>
    <row r="80" customFormat="false" ht="12.75" hidden="false" customHeight="false" outlineLevel="0" collapsed="false">
      <c r="A80" s="1" t="n">
        <v>1</v>
      </c>
      <c r="B80" s="1" t="n">
        <v>79</v>
      </c>
      <c r="C80" s="1" t="n">
        <v>12</v>
      </c>
      <c r="D80" s="8" t="n">
        <v>563814.061</v>
      </c>
      <c r="E80" s="8" t="n">
        <v>123888.949</v>
      </c>
      <c r="F80" s="8" t="n">
        <v>393.946</v>
      </c>
      <c r="G80" s="8" t="n">
        <f aca="false">SQRT((D80-D79)^2+(E80-E79)^2)</f>
        <v>1.59957806937294</v>
      </c>
      <c r="H80" s="8" t="n">
        <f aca="false">H79+G80</f>
        <v>105.926229936189</v>
      </c>
    </row>
    <row r="81" customFormat="false" ht="12.75" hidden="false" customHeight="false" outlineLevel="0" collapsed="false">
      <c r="A81" s="1" t="n">
        <v>1</v>
      </c>
      <c r="B81" s="1" t="n">
        <v>80</v>
      </c>
      <c r="C81" s="1" t="n">
        <v>10</v>
      </c>
      <c r="D81" s="8" t="n">
        <v>563815.006</v>
      </c>
      <c r="E81" s="8" t="n">
        <v>123889.727</v>
      </c>
      <c r="F81" s="8" t="n">
        <v>395.606</v>
      </c>
      <c r="G81" s="8" t="n">
        <f aca="false">SQRT((D81-D80)^2+(E81-E80)^2)</f>
        <v>1.22405432891359</v>
      </c>
      <c r="H81" s="8" t="n">
        <f aca="false">H80+G81</f>
        <v>107.150284265102</v>
      </c>
    </row>
    <row r="82" customFormat="false" ht="12.75" hidden="false" customHeight="false" outlineLevel="0" collapsed="false">
      <c r="A82" s="1" t="n">
        <v>1</v>
      </c>
      <c r="B82" s="1" t="n">
        <v>81</v>
      </c>
      <c r="C82" s="1" t="n">
        <v>14</v>
      </c>
      <c r="D82" s="8" t="n">
        <v>563815.278</v>
      </c>
      <c r="E82" s="8" t="n">
        <v>123889.955</v>
      </c>
      <c r="F82" s="8" t="n">
        <v>394.987</v>
      </c>
      <c r="G82" s="8" t="n">
        <f aca="false">SQRT((D82-D81)^2+(E82-E81)^2)</f>
        <v>0.354919709229784</v>
      </c>
      <c r="H82" s="8" t="n">
        <f aca="false">H81+G82</f>
        <v>107.505203974332</v>
      </c>
    </row>
    <row r="83" customFormat="false" ht="12.75" hidden="false" customHeight="false" outlineLevel="0" collapsed="false">
      <c r="A83" s="1" t="n">
        <v>1</v>
      </c>
      <c r="B83" s="1" t="n">
        <v>82</v>
      </c>
      <c r="C83" s="1" t="n">
        <v>14</v>
      </c>
      <c r="D83" s="8" t="n">
        <v>563815.632</v>
      </c>
      <c r="E83" s="8" t="n">
        <v>123890.247</v>
      </c>
      <c r="F83" s="8" t="n">
        <v>395.087</v>
      </c>
      <c r="G83" s="8" t="n">
        <f aca="false">SQRT((D83-D82)^2+(E83-E82)^2)</f>
        <v>0.458889964974101</v>
      </c>
      <c r="H83" s="8" t="n">
        <f aca="false">H82+G83</f>
        <v>107.964093939306</v>
      </c>
    </row>
    <row r="84" customFormat="false" ht="12.75" hidden="false" customHeight="false" outlineLevel="0" collapsed="false">
      <c r="A84" s="1" t="n">
        <v>1</v>
      </c>
      <c r="B84" s="1" t="n">
        <v>83</v>
      </c>
      <c r="C84" s="1" t="n">
        <v>11</v>
      </c>
      <c r="D84" s="8" t="n">
        <v>563817.864</v>
      </c>
      <c r="E84" s="8" t="n">
        <v>123892.092</v>
      </c>
      <c r="F84" s="8" t="n">
        <v>395.061</v>
      </c>
      <c r="G84" s="8" t="n">
        <f aca="false">SQRT((D84-D83)^2+(E84-E83)^2)</f>
        <v>2.89583304073725</v>
      </c>
      <c r="H84" s="8" t="n">
        <f aca="false">H83+G84</f>
        <v>110.859926980044</v>
      </c>
    </row>
    <row r="85" customFormat="false" ht="12.75" hidden="false" customHeight="false" outlineLevel="0" collapsed="false">
      <c r="A85" s="1" t="n">
        <v>1</v>
      </c>
      <c r="B85" s="1" t="n">
        <v>84</v>
      </c>
      <c r="C85" s="1" t="n">
        <v>14</v>
      </c>
      <c r="D85" s="8" t="n">
        <v>563818.308</v>
      </c>
      <c r="E85" s="8" t="n">
        <v>123892.459</v>
      </c>
      <c r="F85" s="8" t="n">
        <v>394.954</v>
      </c>
      <c r="G85" s="8" t="n">
        <f aca="false">SQRT((D85-D84)^2+(E85-E84)^2)</f>
        <v>0.57604253316445</v>
      </c>
      <c r="H85" s="8" t="n">
        <f aca="false">H84+G85</f>
        <v>111.435969513208</v>
      </c>
    </row>
    <row r="86" customFormat="false" ht="12.75" hidden="false" customHeight="false" outlineLevel="0" collapsed="false">
      <c r="A86" s="1" t="n">
        <v>1</v>
      </c>
      <c r="B86" s="1" t="n">
        <v>85</v>
      </c>
      <c r="C86" s="1" t="n">
        <v>14</v>
      </c>
      <c r="D86" s="8" t="n">
        <v>563821.114</v>
      </c>
      <c r="E86" s="8" t="n">
        <v>123894.777</v>
      </c>
      <c r="F86" s="8" t="n">
        <v>392.457</v>
      </c>
      <c r="G86" s="8" t="n">
        <f aca="false">SQRT((D86-D85)^2+(E86-E85)^2)</f>
        <v>3.63960986918893</v>
      </c>
      <c r="H86" s="8" t="n">
        <f aca="false">H85+G86</f>
        <v>115.075579382397</v>
      </c>
    </row>
    <row r="87" customFormat="false" ht="12.75" hidden="false" customHeight="false" outlineLevel="0" collapsed="false">
      <c r="A87" s="1" t="n">
        <v>1</v>
      </c>
      <c r="B87" s="1" t="n">
        <v>86</v>
      </c>
      <c r="C87" s="1" t="n">
        <v>20</v>
      </c>
      <c r="D87" s="8" t="n">
        <v>563822.898</v>
      </c>
      <c r="E87" s="8" t="n">
        <v>123896.251</v>
      </c>
      <c r="F87" s="8" t="n">
        <v>391.859</v>
      </c>
      <c r="G87" s="8" t="n">
        <f aca="false">SQRT((D87-D86)^2+(E87-E86)^2)</f>
        <v>2.31415902659433</v>
      </c>
      <c r="H87" s="8" t="n">
        <f aca="false">H86+G87</f>
        <v>117.389738408991</v>
      </c>
    </row>
    <row r="88" customFormat="false" ht="12.75" hidden="false" customHeight="false" outlineLevel="0" collapsed="false">
      <c r="A88" s="1" t="n">
        <v>1</v>
      </c>
      <c r="B88" s="1" t="n">
        <v>87</v>
      </c>
      <c r="C88" s="1" t="n">
        <v>20</v>
      </c>
      <c r="D88" s="8" t="n">
        <v>563826.303</v>
      </c>
      <c r="E88" s="8" t="n">
        <v>123899.064</v>
      </c>
      <c r="F88" s="8" t="n">
        <v>391.747</v>
      </c>
      <c r="G88" s="8" t="n">
        <f aca="false">SQRT((D88-D87)^2+(E88-E87)^2)</f>
        <v>4.41667227665438</v>
      </c>
      <c r="H88" s="8" t="n">
        <f aca="false">H87+G88</f>
        <v>121.806410685646</v>
      </c>
    </row>
    <row r="89" customFormat="false" ht="12.75" hidden="false" customHeight="false" outlineLevel="0" collapsed="false">
      <c r="G89" s="9"/>
      <c r="H89" s="9"/>
    </row>
    <row r="90" customFormat="false" ht="12.75" hidden="false" customHeight="false" outlineLevel="0" collapsed="false">
      <c r="G90" s="9"/>
      <c r="H90" s="9"/>
    </row>
    <row r="91" customFormat="false" ht="12.75" hidden="false" customHeight="false" outlineLevel="0" collapsed="false">
      <c r="G91" s="9"/>
      <c r="H91" s="9"/>
    </row>
    <row r="92" customFormat="false" ht="12.75" hidden="false" customHeight="false" outlineLevel="0" collapsed="false">
      <c r="G92" s="9"/>
      <c r="H92" s="9"/>
    </row>
    <row r="93" customFormat="false" ht="12.75" hidden="false" customHeight="false" outlineLevel="0" collapsed="false">
      <c r="G93" s="9"/>
      <c r="H93" s="9"/>
    </row>
    <row r="94" customFormat="false" ht="12.75" hidden="false" customHeight="false" outlineLevel="0" collapsed="false">
      <c r="G94" s="9"/>
      <c r="H94" s="9"/>
    </row>
    <row r="95" customFormat="false" ht="12.75" hidden="false" customHeight="false" outlineLevel="0" collapsed="false">
      <c r="G95" s="9"/>
      <c r="H95" s="9"/>
    </row>
    <row r="96" customFormat="false" ht="12.75" hidden="false" customHeight="false" outlineLevel="0" collapsed="false">
      <c r="G96" s="9"/>
      <c r="H96" s="9"/>
    </row>
    <row r="97" customFormat="false" ht="12.75" hidden="false" customHeight="false" outlineLevel="0" collapsed="false">
      <c r="G97" s="9"/>
      <c r="H97" s="9"/>
    </row>
    <row r="98" customFormat="false" ht="12.75" hidden="false" customHeight="false" outlineLevel="0" collapsed="false">
      <c r="G98" s="9"/>
      <c r="H98" s="9"/>
    </row>
    <row r="99" customFormat="false" ht="12.75" hidden="false" customHeight="false" outlineLevel="0" collapsed="false">
      <c r="G99" s="9"/>
      <c r="H99" s="9"/>
    </row>
    <row r="100" customFormat="false" ht="12.75" hidden="false" customHeight="false" outlineLevel="0" collapsed="false">
      <c r="G100" s="9"/>
      <c r="H100" s="9"/>
    </row>
    <row r="101" customFormat="false" ht="12.75" hidden="false" customHeight="false" outlineLevel="0" collapsed="false">
      <c r="G101" s="9"/>
      <c r="H101" s="9"/>
    </row>
    <row r="102" customFormat="false" ht="12.75" hidden="false" customHeight="false" outlineLevel="0" collapsed="false">
      <c r="G102" s="9"/>
      <c r="H102" s="9"/>
    </row>
    <row r="103" customFormat="false" ht="12.75" hidden="false" customHeight="false" outlineLevel="0" collapsed="false">
      <c r="G103" s="9"/>
      <c r="H103" s="9"/>
    </row>
    <row r="104" customFormat="false" ht="12.75" hidden="false" customHeight="false" outlineLevel="0" collapsed="false">
      <c r="G104" s="9"/>
      <c r="H104" s="9"/>
    </row>
    <row r="105" customFormat="false" ht="12.75" hidden="false" customHeight="false" outlineLevel="0" collapsed="false">
      <c r="G105" s="9"/>
      <c r="H105" s="9"/>
    </row>
    <row r="106" customFormat="false" ht="12.75" hidden="false" customHeight="false" outlineLevel="0" collapsed="false">
      <c r="G106" s="9"/>
      <c r="H106" s="9"/>
    </row>
    <row r="107" customFormat="false" ht="12.75" hidden="false" customHeight="false" outlineLevel="0" collapsed="false">
      <c r="G107" s="9"/>
      <c r="H107" s="9"/>
    </row>
    <row r="108" customFormat="false" ht="12.75" hidden="false" customHeight="false" outlineLevel="0" collapsed="false">
      <c r="G108" s="9"/>
      <c r="H108" s="9"/>
    </row>
    <row r="109" customFormat="false" ht="12.75" hidden="false" customHeight="false" outlineLevel="0" collapsed="false">
      <c r="G109" s="9"/>
      <c r="H109" s="9"/>
    </row>
    <row r="110" customFormat="false" ht="12.75" hidden="false" customHeight="false" outlineLevel="0" collapsed="false">
      <c r="G110" s="9"/>
      <c r="H110" s="9"/>
    </row>
    <row r="111" customFormat="false" ht="12.75" hidden="false" customHeight="false" outlineLevel="0" collapsed="false">
      <c r="G111" s="9"/>
      <c r="H111" s="9"/>
    </row>
    <row r="112" customFormat="false" ht="12.75" hidden="false" customHeight="false" outlineLevel="0" collapsed="false">
      <c r="G112" s="9"/>
      <c r="H112" s="9"/>
    </row>
    <row r="113" customFormat="false" ht="12.75" hidden="false" customHeight="false" outlineLevel="0" collapsed="false">
      <c r="G113" s="9"/>
      <c r="H113" s="9"/>
    </row>
    <row r="114" customFormat="false" ht="12.75" hidden="false" customHeight="false" outlineLevel="0" collapsed="false">
      <c r="G114" s="9"/>
      <c r="H114" s="9"/>
    </row>
    <row r="115" customFormat="false" ht="12.75" hidden="false" customHeight="false" outlineLevel="0" collapsed="false">
      <c r="G115" s="9"/>
      <c r="H115" s="9"/>
    </row>
    <row r="116" customFormat="false" ht="12.75" hidden="false" customHeight="false" outlineLevel="0" collapsed="false">
      <c r="G116" s="9"/>
      <c r="H116" s="9"/>
    </row>
    <row r="117" customFormat="false" ht="12.75" hidden="false" customHeight="false" outlineLevel="0" collapsed="false">
      <c r="G117" s="9"/>
      <c r="H117" s="9"/>
    </row>
    <row r="118" customFormat="false" ht="12.75" hidden="false" customHeight="false" outlineLevel="0" collapsed="false">
      <c r="G118" s="9"/>
      <c r="H118" s="9"/>
    </row>
    <row r="119" customFormat="false" ht="12.75" hidden="false" customHeight="false" outlineLevel="0" collapsed="false">
      <c r="G119" s="9"/>
      <c r="H119" s="9"/>
    </row>
    <row r="120" customFormat="false" ht="12.75" hidden="false" customHeight="false" outlineLevel="0" collapsed="false">
      <c r="G120" s="9"/>
      <c r="H120" s="9"/>
    </row>
    <row r="121" customFormat="false" ht="12.75" hidden="false" customHeight="false" outlineLevel="0" collapsed="false">
      <c r="G121" s="9"/>
      <c r="H121" s="9"/>
    </row>
    <row r="122" customFormat="false" ht="12.75" hidden="false" customHeight="false" outlineLevel="0" collapsed="false">
      <c r="G122" s="9"/>
      <c r="H122" s="9"/>
    </row>
    <row r="123" customFormat="false" ht="12.75" hidden="false" customHeight="false" outlineLevel="0" collapsed="false">
      <c r="G123" s="9"/>
      <c r="H123" s="9"/>
    </row>
    <row r="124" customFormat="false" ht="12.75" hidden="false" customHeight="false" outlineLevel="0" collapsed="false">
      <c r="G124" s="9"/>
      <c r="H124" s="9"/>
    </row>
    <row r="125" customFormat="false" ht="12.75" hidden="false" customHeight="false" outlineLevel="0" collapsed="false">
      <c r="G125" s="9"/>
      <c r="H125" s="9"/>
    </row>
    <row r="126" customFormat="false" ht="12.75" hidden="false" customHeight="false" outlineLevel="0" collapsed="false">
      <c r="G126" s="9"/>
      <c r="H126" s="9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1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" activeCellId="0" sqref="F1"/>
    </sheetView>
  </sheetViews>
  <sheetFormatPr defaultColWidth="8.90234375" defaultRowHeight="12.75" zeroHeight="false" outlineLevelRow="0" outlineLevelCol="0"/>
  <cols>
    <col collapsed="false" customWidth="true" hidden="false" outlineLevel="0" max="1" min="1" style="1" width="14.01"/>
    <col collapsed="false" customWidth="true" hidden="false" outlineLevel="0" max="2" min="2" style="1" width="14.11"/>
    <col collapsed="false" customWidth="true" hidden="false" outlineLevel="0" max="3" min="3" style="1" width="9.44"/>
    <col collapsed="false" customWidth="true" hidden="false" outlineLevel="0" max="4" min="4" style="1" width="10.11"/>
    <col collapsed="false" customWidth="true" hidden="false" outlineLevel="0" max="5" min="5" style="1" width="13.44"/>
    <col collapsed="false" customWidth="false" hidden="false" outlineLevel="0" max="1017" min="6" style="1" width="8.89"/>
    <col collapsed="false" customWidth="true" hidden="false" outlineLevel="0" max="1024" min="1018" style="0" width="11.52"/>
  </cols>
  <sheetData>
    <row r="1" customFormat="false" ht="26.25" hidden="false" customHeight="false" outlineLevel="0" collapsed="false">
      <c r="A1" s="5" t="s">
        <v>0</v>
      </c>
      <c r="B1" s="5" t="s">
        <v>1</v>
      </c>
      <c r="C1" s="6" t="s">
        <v>2</v>
      </c>
      <c r="D1" s="7" t="s">
        <v>3</v>
      </c>
      <c r="E1" s="7" t="s">
        <v>4</v>
      </c>
    </row>
    <row r="2" customFormat="false" ht="12.75" hidden="false" customHeight="false" outlineLevel="0" collapsed="false">
      <c r="A2" s="8" t="n">
        <v>563791.304</v>
      </c>
      <c r="B2" s="8" t="n">
        <v>123741.844</v>
      </c>
      <c r="C2" s="8" t="n">
        <v>395.456</v>
      </c>
      <c r="D2" s="8" t="n">
        <v>0</v>
      </c>
      <c r="E2" s="8" t="n">
        <v>0</v>
      </c>
      <c r="F2" s="10"/>
    </row>
    <row r="3" customFormat="false" ht="12.75" hidden="false" customHeight="false" outlineLevel="0" collapsed="false">
      <c r="A3" s="8" t="n">
        <v>563795.661</v>
      </c>
      <c r="B3" s="8" t="n">
        <v>123745.342</v>
      </c>
      <c r="C3" s="8" t="n">
        <v>395.276</v>
      </c>
      <c r="D3" s="8" t="n">
        <f aca="false">SQRT((A3-A2)^2+(B3-B2)^2)</f>
        <v>5.58743706896991</v>
      </c>
      <c r="E3" s="8" t="n">
        <f aca="false">E2+D3</f>
        <v>5.58743706896991</v>
      </c>
    </row>
    <row r="4" customFormat="false" ht="12.75" hidden="false" customHeight="false" outlineLevel="0" collapsed="false">
      <c r="A4" s="8" t="n">
        <v>563797.826</v>
      </c>
      <c r="B4" s="8" t="n">
        <v>123747.08</v>
      </c>
      <c r="C4" s="8" t="n">
        <v>395.332</v>
      </c>
      <c r="D4" s="8" t="n">
        <f aca="false">SQRT((A4-A3)^2+(B4-B3)^2)</f>
        <v>2.77630491843976</v>
      </c>
      <c r="E4" s="8" t="n">
        <f aca="false">E3+D4</f>
        <v>8.36374198740967</v>
      </c>
    </row>
    <row r="5" customFormat="false" ht="12.75" hidden="false" customHeight="false" outlineLevel="0" collapsed="false">
      <c r="A5" s="8" t="n">
        <v>563802.124</v>
      </c>
      <c r="B5" s="8" t="n">
        <v>123750.53</v>
      </c>
      <c r="C5" s="8" t="n">
        <v>395.168</v>
      </c>
      <c r="D5" s="8" t="n">
        <f aca="false">SQRT((A5-A4)^2+(B5-B4)^2)</f>
        <v>5.51137950059362</v>
      </c>
      <c r="E5" s="8" t="n">
        <f aca="false">E4+D5</f>
        <v>13.8751214880033</v>
      </c>
    </row>
    <row r="6" customFormat="false" ht="12.75" hidden="false" customHeight="false" outlineLevel="0" collapsed="false">
      <c r="A6" s="8" t="n">
        <v>563802.816</v>
      </c>
      <c r="B6" s="8" t="n">
        <v>123751.019</v>
      </c>
      <c r="C6" s="8" t="n">
        <v>395.325</v>
      </c>
      <c r="D6" s="8" t="n">
        <f aca="false">SQRT((A6-A5)^2+(B6-B5)^2)</f>
        <v>0.847339955422558</v>
      </c>
      <c r="E6" s="8" t="n">
        <f aca="false">E5+D6</f>
        <v>14.7224614434259</v>
      </c>
    </row>
    <row r="7" customFormat="false" ht="12.75" hidden="false" customHeight="false" outlineLevel="0" collapsed="false">
      <c r="A7" s="8" t="n">
        <v>563803.274</v>
      </c>
      <c r="B7" s="8" t="n">
        <v>123751.453</v>
      </c>
      <c r="C7" s="8" t="n">
        <v>395.052</v>
      </c>
      <c r="D7" s="8" t="n">
        <f aca="false">SQRT((A7-A6)^2+(B7-B6)^2)</f>
        <v>0.630967511033763</v>
      </c>
      <c r="E7" s="8" t="n">
        <f aca="false">E6+D7</f>
        <v>15.3534289544596</v>
      </c>
    </row>
    <row r="8" customFormat="false" ht="12.75" hidden="false" customHeight="false" outlineLevel="0" collapsed="false">
      <c r="A8" s="8" t="n">
        <v>563804.193</v>
      </c>
      <c r="B8" s="8" t="n">
        <v>123752.191</v>
      </c>
      <c r="C8" s="8" t="n">
        <v>394.32</v>
      </c>
      <c r="D8" s="8" t="n">
        <f aca="false">SQRT((A8-A7)^2+(B8-B7)^2)</f>
        <v>1.17864540893672</v>
      </c>
      <c r="E8" s="8" t="n">
        <f aca="false">E7+D8</f>
        <v>16.5320743633963</v>
      </c>
    </row>
    <row r="9" customFormat="false" ht="12.75" hidden="false" customHeight="false" outlineLevel="0" collapsed="false">
      <c r="A9" s="8" t="n">
        <v>563805.451</v>
      </c>
      <c r="B9" s="8" t="n">
        <v>123753.201</v>
      </c>
      <c r="C9" s="8" t="n">
        <v>393.461</v>
      </c>
      <c r="D9" s="8" t="n">
        <f aca="false">SQRT((A9-A8)^2+(B9-B8)^2)</f>
        <v>1.61327740951975</v>
      </c>
      <c r="E9" s="8" t="n">
        <f aca="false">E8+D9</f>
        <v>18.1453517729161</v>
      </c>
    </row>
    <row r="10" customFormat="false" ht="12.75" hidden="false" customHeight="false" outlineLevel="0" collapsed="false">
      <c r="A10" s="8" t="n">
        <v>563806.673</v>
      </c>
      <c r="B10" s="8" t="n">
        <v>123754.183</v>
      </c>
      <c r="C10" s="8" t="n">
        <v>393.228</v>
      </c>
      <c r="D10" s="8" t="n">
        <f aca="false">SQRT((A10-A9)^2+(B10-B9)^2)</f>
        <v>1.56767598689476</v>
      </c>
      <c r="E10" s="8" t="n">
        <f aca="false">E9+D10</f>
        <v>19.7130277598108</v>
      </c>
    </row>
    <row r="11" customFormat="false" ht="12.75" hidden="false" customHeight="false" outlineLevel="0" collapsed="false">
      <c r="A11" s="8" t="n">
        <v>563808.909</v>
      </c>
      <c r="B11" s="8" t="n">
        <v>123755.977</v>
      </c>
      <c r="C11" s="8" t="n">
        <v>393.434</v>
      </c>
      <c r="D11" s="8" t="n">
        <f aca="false">SQRT((A11-A10)^2+(B11-B10)^2)</f>
        <v>2.86672844896929</v>
      </c>
      <c r="E11" s="8" t="n">
        <f aca="false">E10+D11</f>
        <v>22.5797562087801</v>
      </c>
    </row>
    <row r="12" customFormat="false" ht="12.75" hidden="false" customHeight="false" outlineLevel="0" collapsed="false">
      <c r="A12" s="8" t="n">
        <v>563810.494</v>
      </c>
      <c r="B12" s="8" t="n">
        <v>123757.25</v>
      </c>
      <c r="C12" s="8" t="n">
        <v>393.387</v>
      </c>
      <c r="D12" s="8" t="n">
        <f aca="false">SQRT((A12-A11)^2+(B12-B11)^2)</f>
        <v>2.03291760774621</v>
      </c>
      <c r="E12" s="8" t="n">
        <f aca="false">E11+D12</f>
        <v>24.6126738165263</v>
      </c>
    </row>
    <row r="13" customFormat="false" ht="12.75" hidden="false" customHeight="false" outlineLevel="0" collapsed="false">
      <c r="A13" s="8" t="n">
        <v>563812.273</v>
      </c>
      <c r="B13" s="8" t="n">
        <v>123758.678</v>
      </c>
      <c r="C13" s="8" t="n">
        <v>393.424</v>
      </c>
      <c r="D13" s="8" t="n">
        <f aca="false">SQRT((A13-A12)^2+(B13-B12)^2)</f>
        <v>2.28123321919182</v>
      </c>
      <c r="E13" s="8" t="n">
        <f aca="false">E12+D13</f>
        <v>26.8939070357182</v>
      </c>
    </row>
    <row r="14" customFormat="false" ht="12.75" hidden="false" customHeight="false" outlineLevel="0" collapsed="false">
      <c r="A14" s="8" t="n">
        <v>563814.247</v>
      </c>
      <c r="B14" s="8" t="n">
        <v>123760.263</v>
      </c>
      <c r="C14" s="8" t="n">
        <v>393.269</v>
      </c>
      <c r="D14" s="8" t="n">
        <f aca="false">SQRT((A14-A13)^2+(B14-B13)^2)</f>
        <v>2.53158073142866</v>
      </c>
      <c r="E14" s="8" t="n">
        <f aca="false">E13+D14</f>
        <v>29.4254877671468</v>
      </c>
    </row>
    <row r="15" customFormat="false" ht="12.75" hidden="false" customHeight="false" outlineLevel="0" collapsed="false">
      <c r="A15" s="8" t="n">
        <v>563815.88</v>
      </c>
      <c r="B15" s="8" t="n">
        <v>123761.575</v>
      </c>
      <c r="C15" s="8" t="n">
        <v>391.974</v>
      </c>
      <c r="D15" s="8" t="n">
        <f aca="false">SQRT((A15-A14)^2+(B15-B14)^2)</f>
        <v>2.09476323246238</v>
      </c>
      <c r="E15" s="8" t="n">
        <f aca="false">E14+D15</f>
        <v>31.5202509996092</v>
      </c>
    </row>
    <row r="16" customFormat="false" ht="12.75" hidden="false" customHeight="false" outlineLevel="0" collapsed="false">
      <c r="A16" s="8" t="n">
        <v>563817.223</v>
      </c>
      <c r="B16" s="8" t="n">
        <v>123762.653</v>
      </c>
      <c r="C16" s="8" t="n">
        <v>390.889</v>
      </c>
      <c r="D16" s="8" t="n">
        <f aca="false">SQRT((A16-A15)^2+(B16-B15)^2)</f>
        <v>1.72213036672636</v>
      </c>
      <c r="E16" s="8" t="n">
        <f aca="false">E15+D16</f>
        <v>33.2423813663356</v>
      </c>
    </row>
    <row r="17" customFormat="false" ht="12.75" hidden="false" customHeight="false" outlineLevel="0" collapsed="false">
      <c r="A17" s="8" t="n">
        <v>563817.973</v>
      </c>
      <c r="B17" s="8" t="n">
        <v>123763.255</v>
      </c>
      <c r="C17" s="8" t="n">
        <v>389.921</v>
      </c>
      <c r="D17" s="8" t="n">
        <f aca="false">SQRT((A17-A16)^2+(B17-B16)^2)</f>
        <v>0.961719293764422</v>
      </c>
      <c r="E17" s="8" t="n">
        <f aca="false">E16+D17</f>
        <v>34.2041006601</v>
      </c>
    </row>
    <row r="18" customFormat="false" ht="12.75" hidden="false" customHeight="false" outlineLevel="0" collapsed="false">
      <c r="A18" s="8" t="n">
        <v>563818.294</v>
      </c>
      <c r="B18" s="8" t="n">
        <v>123763.512</v>
      </c>
      <c r="C18" s="8" t="n">
        <v>389.775</v>
      </c>
      <c r="D18" s="8" t="n">
        <f aca="false">SQRT((A18-A17)^2+(B18-B17)^2)</f>
        <v>0.411205544705408</v>
      </c>
      <c r="E18" s="8" t="n">
        <f aca="false">E17+D18</f>
        <v>34.6153062048054</v>
      </c>
    </row>
    <row r="19" customFormat="false" ht="12.75" hidden="false" customHeight="false" outlineLevel="0" collapsed="false">
      <c r="A19" s="8" t="n">
        <v>563818.563</v>
      </c>
      <c r="B19" s="8" t="n">
        <v>123763.729</v>
      </c>
      <c r="C19" s="8" t="n">
        <v>389.495</v>
      </c>
      <c r="D19" s="8" t="n">
        <f aca="false">SQRT((A19-A18)^2+(B19-B18)^2)</f>
        <v>0.345615393155869</v>
      </c>
      <c r="E19" s="8" t="n">
        <f aca="false">E18+D19</f>
        <v>34.9609215979613</v>
      </c>
    </row>
    <row r="20" customFormat="false" ht="12.75" hidden="false" customHeight="false" outlineLevel="0" collapsed="false">
      <c r="A20" s="8" t="n">
        <v>563819.434</v>
      </c>
      <c r="B20" s="8" t="n">
        <v>123764.427</v>
      </c>
      <c r="C20" s="8" t="n">
        <v>388.8</v>
      </c>
      <c r="D20" s="8" t="n">
        <f aca="false">SQRT((A20-A19)^2+(B20-B19)^2)</f>
        <v>1.11617426957435</v>
      </c>
      <c r="E20" s="8" t="n">
        <f aca="false">E19+D20</f>
        <v>36.0770958675356</v>
      </c>
    </row>
    <row r="21" customFormat="false" ht="12.75" hidden="false" customHeight="false" outlineLevel="0" collapsed="false">
      <c r="A21" s="8" t="n">
        <v>563820.59</v>
      </c>
      <c r="B21" s="8" t="n">
        <v>123765.356</v>
      </c>
      <c r="C21" s="8" t="n">
        <v>387.69</v>
      </c>
      <c r="D21" s="8" t="n">
        <f aca="false">SQRT((A21-A20)^2+(B21-B20)^2)</f>
        <v>1.48302966926228</v>
      </c>
      <c r="E21" s="8" t="n">
        <f aca="false">E20+D21</f>
        <v>37.5601255367979</v>
      </c>
    </row>
    <row r="22" customFormat="false" ht="12.75" hidden="false" customHeight="false" outlineLevel="0" collapsed="false">
      <c r="A22" s="8" t="n">
        <v>563821.91</v>
      </c>
      <c r="B22" s="8" t="n">
        <v>123766.415</v>
      </c>
      <c r="C22" s="8" t="n">
        <v>387.42</v>
      </c>
      <c r="D22" s="8" t="n">
        <f aca="false">SQRT((A22-A21)^2+(B22-B21)^2)</f>
        <v>1.69230050527648</v>
      </c>
      <c r="E22" s="8" t="n">
        <f aca="false">E21+D22</f>
        <v>39.2524260420744</v>
      </c>
    </row>
    <row r="23" customFormat="false" ht="12.75" hidden="false" customHeight="false" outlineLevel="0" collapsed="false">
      <c r="A23" s="8" t="n">
        <v>563823.638</v>
      </c>
      <c r="B23" s="8" t="n">
        <v>123767.803</v>
      </c>
      <c r="C23" s="8" t="n">
        <v>387.28</v>
      </c>
      <c r="D23" s="8" t="n">
        <f aca="false">SQRT((A23-A22)^2+(B23-B22)^2)</f>
        <v>2.21642234243095</v>
      </c>
      <c r="E23" s="8" t="n">
        <f aca="false">E22+D23</f>
        <v>41.4688483845053</v>
      </c>
    </row>
    <row r="24" customFormat="false" ht="12.75" hidden="false" customHeight="false" outlineLevel="0" collapsed="false">
      <c r="A24" s="8" t="n">
        <v>563824.514</v>
      </c>
      <c r="B24" s="8" t="n">
        <v>123768.506</v>
      </c>
      <c r="C24" s="8" t="n">
        <v>387.43</v>
      </c>
      <c r="D24" s="8" t="n">
        <f aca="false">SQRT((A24-A23)^2+(B24-B23)^2)</f>
        <v>1.12320300919776</v>
      </c>
      <c r="E24" s="8" t="n">
        <f aca="false">E23+D24</f>
        <v>42.5920513937031</v>
      </c>
    </row>
    <row r="25" customFormat="false" ht="12.75" hidden="false" customHeight="false" outlineLevel="0" collapsed="false">
      <c r="A25" s="8" t="n">
        <v>563825.302</v>
      </c>
      <c r="B25" s="8" t="n">
        <v>123769.139</v>
      </c>
      <c r="C25" s="8" t="n">
        <v>387.45</v>
      </c>
      <c r="D25" s="8" t="n">
        <f aca="false">SQRT((A25-A24)^2+(B25-B24)^2)</f>
        <v>1.01075862603024</v>
      </c>
      <c r="E25" s="8" t="n">
        <f aca="false">E24+D25</f>
        <v>43.6028100197333</v>
      </c>
    </row>
    <row r="26" customFormat="false" ht="12.75" hidden="false" customHeight="false" outlineLevel="0" collapsed="false">
      <c r="A26" s="8" t="n">
        <v>563825.938</v>
      </c>
      <c r="B26" s="8" t="n">
        <v>123769.649</v>
      </c>
      <c r="C26" s="8" t="n">
        <v>387.49</v>
      </c>
      <c r="D26" s="8" t="n">
        <f aca="false">SQRT((A26-A25)^2+(B26-B25)^2)</f>
        <v>0.815227575547885</v>
      </c>
      <c r="E26" s="8" t="n">
        <f aca="false">E25+D26</f>
        <v>44.4180375952812</v>
      </c>
    </row>
    <row r="27" customFormat="false" ht="12.75" hidden="false" customHeight="false" outlineLevel="0" collapsed="false">
      <c r="A27" s="8" t="n">
        <v>563827.481</v>
      </c>
      <c r="B27" s="8" t="n">
        <v>123770.888</v>
      </c>
      <c r="C27" s="8" t="n">
        <v>387.58</v>
      </c>
      <c r="D27" s="8" t="n">
        <f aca="false">SQRT((A27-A26)^2+(B27-B26)^2)</f>
        <v>1.97888099697756</v>
      </c>
      <c r="E27" s="8" t="n">
        <f aca="false">E26+D27</f>
        <v>46.3969185922588</v>
      </c>
    </row>
    <row r="28" customFormat="false" ht="12.75" hidden="false" customHeight="false" outlineLevel="0" collapsed="false">
      <c r="A28" s="8" t="n">
        <v>563828.411</v>
      </c>
      <c r="B28" s="8" t="n">
        <v>123771.635</v>
      </c>
      <c r="C28" s="8" t="n">
        <v>387.66</v>
      </c>
      <c r="D28" s="8" t="n">
        <f aca="false">SQRT((A28-A27)^2+(B28-B27)^2)</f>
        <v>1.19285749352616</v>
      </c>
      <c r="E28" s="8" t="n">
        <f aca="false">E27+D28</f>
        <v>47.5897760857849</v>
      </c>
    </row>
    <row r="29" customFormat="false" ht="12.75" hidden="false" customHeight="false" outlineLevel="0" collapsed="false">
      <c r="A29" s="8" t="n">
        <v>563829.339</v>
      </c>
      <c r="B29" s="8" t="n">
        <v>123772.38</v>
      </c>
      <c r="C29" s="8" t="n">
        <v>387.61</v>
      </c>
      <c r="D29" s="8" t="n">
        <f aca="false">SQRT((A29-A28)^2+(B29-B28)^2)</f>
        <v>1.19004579750091</v>
      </c>
      <c r="E29" s="8" t="n">
        <f aca="false">E28+D29</f>
        <v>48.7798218832858</v>
      </c>
    </row>
    <row r="30" customFormat="false" ht="12.75" hidden="false" customHeight="false" outlineLevel="0" collapsed="false">
      <c r="A30" s="8" t="n">
        <v>563830.112</v>
      </c>
      <c r="B30" s="8" t="n">
        <v>123773</v>
      </c>
      <c r="C30" s="8" t="n">
        <v>387.64</v>
      </c>
      <c r="D30" s="8" t="n">
        <f aca="false">SQRT((A30-A29)^2+(B30-B29)^2)</f>
        <v>0.990923306761608</v>
      </c>
      <c r="E30" s="8" t="n">
        <f aca="false">E29+D30</f>
        <v>49.7707451900475</v>
      </c>
    </row>
    <row r="31" customFormat="false" ht="12.75" hidden="false" customHeight="false" outlineLevel="0" collapsed="false">
      <c r="A31" s="8" t="n">
        <v>563831.032</v>
      </c>
      <c r="B31" s="8" t="n">
        <v>123773.739</v>
      </c>
      <c r="C31" s="8" t="n">
        <v>387.64</v>
      </c>
      <c r="D31" s="8" t="n">
        <f aca="false">SQRT((A31-A30)^2+(B31-B30)^2)</f>
        <v>1.18005127010617</v>
      </c>
      <c r="E31" s="8" t="n">
        <f aca="false">E30+D31</f>
        <v>50.9507964601536</v>
      </c>
    </row>
    <row r="32" customFormat="false" ht="12.75" hidden="false" customHeight="false" outlineLevel="0" collapsed="false">
      <c r="A32" s="8" t="n">
        <v>563832.131</v>
      </c>
      <c r="B32" s="8" t="n">
        <v>123774.622</v>
      </c>
      <c r="C32" s="8" t="n">
        <v>387.64</v>
      </c>
      <c r="D32" s="8" t="n">
        <f aca="false">SQRT((A32-A31)^2+(B32-B31)^2)</f>
        <v>1.40978367138479</v>
      </c>
      <c r="E32" s="8" t="n">
        <f aca="false">E31+D32</f>
        <v>52.3605801315384</v>
      </c>
    </row>
    <row r="33" customFormat="false" ht="12.75" hidden="false" customHeight="false" outlineLevel="0" collapsed="false">
      <c r="A33" s="8" t="n">
        <v>563832.916</v>
      </c>
      <c r="B33" s="8" t="n">
        <v>123775.251</v>
      </c>
      <c r="C33" s="8" t="n">
        <v>387.63</v>
      </c>
      <c r="D33" s="8" t="n">
        <f aca="false">SQRT((A33-A32)^2+(B33-B32)^2)</f>
        <v>1.0059155033448</v>
      </c>
      <c r="E33" s="8" t="n">
        <f aca="false">E32+D33</f>
        <v>53.3664956348832</v>
      </c>
    </row>
    <row r="34" customFormat="false" ht="12.75" hidden="false" customHeight="false" outlineLevel="0" collapsed="false">
      <c r="A34" s="8" t="n">
        <v>563833.712</v>
      </c>
      <c r="B34" s="8" t="n">
        <v>123775.891</v>
      </c>
      <c r="C34" s="8" t="n">
        <v>387.71</v>
      </c>
      <c r="D34" s="8" t="n">
        <f aca="false">SQRT((A34-A33)^2+(B34-B33)^2)</f>
        <v>1.02137945942808</v>
      </c>
      <c r="E34" s="8" t="n">
        <f aca="false">E33+D34</f>
        <v>54.3878750943113</v>
      </c>
    </row>
    <row r="35" customFormat="false" ht="12.75" hidden="false" customHeight="false" outlineLevel="0" collapsed="false">
      <c r="A35" s="8" t="n">
        <v>563834.642</v>
      </c>
      <c r="B35" s="8" t="n">
        <v>123776.637</v>
      </c>
      <c r="C35" s="8" t="n">
        <v>387.85</v>
      </c>
      <c r="D35" s="8" t="n">
        <f aca="false">SQRT((A35-A34)^2+(B35-B34)^2)</f>
        <v>1.19223152108872</v>
      </c>
      <c r="E35" s="8" t="n">
        <f aca="false">E34+D35</f>
        <v>55.5801066154</v>
      </c>
    </row>
    <row r="36" customFormat="false" ht="12.75" hidden="false" customHeight="false" outlineLevel="0" collapsed="false">
      <c r="A36" s="8" t="n">
        <v>563835.428</v>
      </c>
      <c r="B36" s="8" t="n">
        <v>123777.268</v>
      </c>
      <c r="C36" s="8" t="n">
        <v>387.84</v>
      </c>
      <c r="D36" s="8" t="n">
        <f aca="false">SQRT((A36-A35)^2+(B36-B35)^2)</f>
        <v>1.00794692317367</v>
      </c>
      <c r="E36" s="8" t="n">
        <f aca="false">E35+D36</f>
        <v>56.5880535385737</v>
      </c>
    </row>
    <row r="37" customFormat="false" ht="12.75" hidden="false" customHeight="false" outlineLevel="0" collapsed="false">
      <c r="A37" s="8" t="n">
        <v>563836.673</v>
      </c>
      <c r="B37" s="8" t="n">
        <v>123778.268</v>
      </c>
      <c r="C37" s="8" t="n">
        <v>387.79</v>
      </c>
      <c r="D37" s="8" t="n">
        <f aca="false">SQRT((A37-A36)^2+(B37-B36)^2)</f>
        <v>1.59687977004795</v>
      </c>
      <c r="E37" s="8" t="n">
        <f aca="false">E36+D37</f>
        <v>58.1849333086216</v>
      </c>
    </row>
    <row r="38" customFormat="false" ht="12.75" hidden="false" customHeight="false" outlineLevel="0" collapsed="false">
      <c r="A38" s="8" t="n">
        <v>563837.662</v>
      </c>
      <c r="B38" s="8" t="n">
        <v>123779.062</v>
      </c>
      <c r="C38" s="8" t="n">
        <v>387.87</v>
      </c>
      <c r="D38" s="8" t="n">
        <f aca="false">SQRT((A38-A37)^2+(B38-B37)^2)</f>
        <v>1.26828900497171</v>
      </c>
      <c r="E38" s="8" t="n">
        <f aca="false">E37+D38</f>
        <v>59.4532223135934</v>
      </c>
    </row>
    <row r="39" customFormat="false" ht="12.75" hidden="false" customHeight="false" outlineLevel="0" collapsed="false">
      <c r="A39" s="8" t="n">
        <v>563838.479</v>
      </c>
      <c r="B39" s="8" t="n">
        <v>123779.718</v>
      </c>
      <c r="C39" s="8" t="n">
        <v>387.84</v>
      </c>
      <c r="D39" s="8" t="n">
        <f aca="false">SQRT((A39-A38)^2+(B39-B38)^2)</f>
        <v>1.0477714445662</v>
      </c>
      <c r="E39" s="8" t="n">
        <f aca="false">E38+D39</f>
        <v>60.5009937581596</v>
      </c>
    </row>
    <row r="40" customFormat="false" ht="12.75" hidden="false" customHeight="false" outlineLevel="0" collapsed="false">
      <c r="A40" s="8" t="n">
        <v>563839.324</v>
      </c>
      <c r="B40" s="8" t="n">
        <v>123780.396</v>
      </c>
      <c r="C40" s="8" t="n">
        <v>387.88</v>
      </c>
      <c r="D40" s="8" t="n">
        <f aca="false">SQRT((A40-A39)^2+(B40-B39)^2)</f>
        <v>1.0833785118566</v>
      </c>
      <c r="E40" s="8" t="n">
        <f aca="false">E39+D40</f>
        <v>61.5843722700162</v>
      </c>
    </row>
    <row r="41" customFormat="false" ht="12.75" hidden="false" customHeight="false" outlineLevel="0" collapsed="false">
      <c r="A41" s="8" t="n">
        <v>563840.382</v>
      </c>
      <c r="B41" s="8" t="n">
        <v>123781.245</v>
      </c>
      <c r="C41" s="8" t="n">
        <v>387.78</v>
      </c>
      <c r="D41" s="8" t="n">
        <f aca="false">SQRT((A41-A40)^2+(B41-B40)^2)</f>
        <v>1.35652681503927</v>
      </c>
      <c r="E41" s="8" t="n">
        <f aca="false">E40+D41</f>
        <v>62.9408990850554</v>
      </c>
    </row>
    <row r="42" customFormat="false" ht="12.75" hidden="false" customHeight="false" outlineLevel="0" collapsed="false">
      <c r="A42" s="8" t="n">
        <v>563841.199</v>
      </c>
      <c r="B42" s="8" t="n">
        <v>123781.902</v>
      </c>
      <c r="C42" s="8" t="n">
        <v>387.68</v>
      </c>
      <c r="D42" s="8" t="n">
        <f aca="false">SQRT((A42-A41)^2+(B42-B41)^2)</f>
        <v>1.04839782528985</v>
      </c>
      <c r="E42" s="8" t="n">
        <f aca="false">E41+D42</f>
        <v>63.9892969103453</v>
      </c>
    </row>
    <row r="43" customFormat="false" ht="12.75" hidden="false" customHeight="false" outlineLevel="0" collapsed="false">
      <c r="A43" s="8" t="n">
        <v>563842.092</v>
      </c>
      <c r="B43" s="8" t="n">
        <v>123782.618</v>
      </c>
      <c r="C43" s="8" t="n">
        <v>387.85</v>
      </c>
      <c r="D43" s="8" t="n">
        <f aca="false">SQRT((A43-A42)^2+(B43-B42)^2)</f>
        <v>1.14459818271047</v>
      </c>
      <c r="E43" s="8" t="n">
        <f aca="false">E42+D43</f>
        <v>65.1338950930557</v>
      </c>
    </row>
    <row r="44" customFormat="false" ht="12.75" hidden="false" customHeight="false" outlineLevel="0" collapsed="false">
      <c r="A44" s="8" t="n">
        <v>563842.916</v>
      </c>
      <c r="B44" s="8" t="n">
        <v>123783.28</v>
      </c>
      <c r="C44" s="8" t="n">
        <v>387.85</v>
      </c>
      <c r="D44" s="8" t="n">
        <f aca="false">SQRT((A44-A43)^2+(B44-B43)^2)</f>
        <v>1.05698628185628</v>
      </c>
      <c r="E44" s="8" t="n">
        <f aca="false">E43+D44</f>
        <v>66.190881374912</v>
      </c>
    </row>
    <row r="45" customFormat="false" ht="12.75" hidden="false" customHeight="false" outlineLevel="0" collapsed="false">
      <c r="A45" s="8" t="n">
        <v>563843.73</v>
      </c>
      <c r="B45" s="8" t="n">
        <v>123783.933</v>
      </c>
      <c r="C45" s="8" t="n">
        <v>387.76</v>
      </c>
      <c r="D45" s="8" t="n">
        <f aca="false">SQRT((A45-A44)^2+(B45-B44)^2)</f>
        <v>1.04355402353145</v>
      </c>
      <c r="E45" s="8" t="n">
        <f aca="false">E44+D45</f>
        <v>67.2344353984435</v>
      </c>
    </row>
    <row r="46" customFormat="false" ht="12.75" hidden="false" customHeight="false" outlineLevel="0" collapsed="false">
      <c r="A46" s="8" t="n">
        <v>563844.557</v>
      </c>
      <c r="B46" s="8" t="n">
        <v>123784.597</v>
      </c>
      <c r="C46" s="8" t="n">
        <v>387.77</v>
      </c>
      <c r="D46" s="8" t="n">
        <f aca="false">SQRT((A46-A45)^2+(B46-B45)^2)</f>
        <v>1.06057767281161</v>
      </c>
      <c r="E46" s="8" t="n">
        <f aca="false">E45+D46</f>
        <v>68.2950130712551</v>
      </c>
    </row>
    <row r="47" customFormat="false" ht="12.75" hidden="false" customHeight="false" outlineLevel="0" collapsed="false">
      <c r="A47" s="8" t="n">
        <v>563845.339</v>
      </c>
      <c r="B47" s="8" t="n">
        <v>123785.225</v>
      </c>
      <c r="C47" s="8" t="n">
        <v>387.95</v>
      </c>
      <c r="D47" s="8" t="n">
        <f aca="false">SQRT((A47-A46)^2+(B47-B46)^2)</f>
        <v>1.00294964979538</v>
      </c>
      <c r="E47" s="8" t="n">
        <f aca="false">E46+D47</f>
        <v>69.2979627210505</v>
      </c>
    </row>
    <row r="48" customFormat="false" ht="12.75" hidden="false" customHeight="false" outlineLevel="0" collapsed="false">
      <c r="A48" s="8" t="n">
        <v>563846.154</v>
      </c>
      <c r="B48" s="8" t="n">
        <v>123785.879</v>
      </c>
      <c r="C48" s="8" t="n">
        <v>387.96</v>
      </c>
      <c r="D48" s="8" t="n">
        <f aca="false">SQRT((A48-A47)^2+(B48-B47)^2)</f>
        <v>1.0449598077928</v>
      </c>
      <c r="E48" s="8" t="n">
        <f aca="false">E47+D48</f>
        <v>70.3429225288433</v>
      </c>
    </row>
    <row r="49" customFormat="false" ht="12.75" hidden="false" customHeight="false" outlineLevel="0" collapsed="false">
      <c r="A49" s="8" t="n">
        <v>563846.975</v>
      </c>
      <c r="B49" s="8" t="n">
        <v>123786.538</v>
      </c>
      <c r="C49" s="8" t="n">
        <v>387.82</v>
      </c>
      <c r="D49" s="8" t="n">
        <f aca="false">SQRT((A49-A48)^2+(B49-B48)^2)</f>
        <v>1.05276873053554</v>
      </c>
      <c r="E49" s="8" t="n">
        <f aca="false">E48+D49</f>
        <v>71.3956912593788</v>
      </c>
    </row>
    <row r="50" customFormat="false" ht="12.75" hidden="false" customHeight="false" outlineLevel="0" collapsed="false">
      <c r="A50" s="8" t="n">
        <v>563847.706</v>
      </c>
      <c r="B50" s="8" t="n">
        <v>123787.126</v>
      </c>
      <c r="C50" s="8" t="n">
        <v>387.82</v>
      </c>
      <c r="D50" s="8" t="n">
        <f aca="false">SQRT((A50-A49)^2+(B50-B49)^2)</f>
        <v>0.938139115508025</v>
      </c>
      <c r="E50" s="8" t="n">
        <f aca="false">E49+D50</f>
        <v>72.3338303748869</v>
      </c>
    </row>
    <row r="51" customFormat="false" ht="12.75" hidden="false" customHeight="false" outlineLevel="0" collapsed="false">
      <c r="A51" s="8" t="n">
        <v>563848.582</v>
      </c>
      <c r="B51" s="8" t="n">
        <v>123787.829</v>
      </c>
      <c r="C51" s="8" t="n">
        <v>387.89</v>
      </c>
      <c r="D51" s="8" t="n">
        <f aca="false">SQRT((A51-A50)^2+(B51-B50)^2)</f>
        <v>1.12320300928856</v>
      </c>
      <c r="E51" s="8" t="n">
        <f aca="false">E50+D51</f>
        <v>73.4570333841754</v>
      </c>
    </row>
    <row r="52" customFormat="false" ht="12.75" hidden="false" customHeight="false" outlineLevel="0" collapsed="false">
      <c r="A52" s="8" t="n">
        <v>563849.368</v>
      </c>
      <c r="B52" s="8" t="n">
        <v>123788.46</v>
      </c>
      <c r="C52" s="8" t="n">
        <v>387.84</v>
      </c>
      <c r="D52" s="8" t="n">
        <f aca="false">SQRT((A52-A51)^2+(B52-B51)^2)</f>
        <v>1.00794692318278</v>
      </c>
      <c r="E52" s="8" t="n">
        <f aca="false">E51+D52</f>
        <v>74.4649803073582</v>
      </c>
    </row>
    <row r="53" customFormat="false" ht="12.75" hidden="false" customHeight="false" outlineLevel="0" collapsed="false">
      <c r="A53" s="8" t="n">
        <v>563850.38</v>
      </c>
      <c r="B53" s="8" t="n">
        <v>123789.273</v>
      </c>
      <c r="C53" s="8" t="n">
        <v>387.91</v>
      </c>
      <c r="D53" s="8" t="n">
        <f aca="false">SQRT((A53-A52)^2+(B53-B52)^2)</f>
        <v>1.2981190238059</v>
      </c>
      <c r="E53" s="8" t="n">
        <f aca="false">E52+D53</f>
        <v>75.7630993311641</v>
      </c>
    </row>
    <row r="54" customFormat="false" ht="12.75" hidden="false" customHeight="false" outlineLevel="0" collapsed="false">
      <c r="A54" s="8" t="n">
        <v>563851.121</v>
      </c>
      <c r="B54" s="8" t="n">
        <v>123789.867</v>
      </c>
      <c r="C54" s="8" t="n">
        <v>387.99</v>
      </c>
      <c r="D54" s="8" t="n">
        <f aca="false">SQRT((A54-A53)^2+(B54-B53)^2)</f>
        <v>0.949693108353118</v>
      </c>
      <c r="E54" s="8" t="n">
        <f aca="false">E53+D54</f>
        <v>76.7127924395172</v>
      </c>
    </row>
    <row r="55" customFormat="false" ht="12.75" hidden="false" customHeight="false" outlineLevel="0" collapsed="false">
      <c r="A55" s="8" t="n">
        <v>563851.856</v>
      </c>
      <c r="B55" s="8" t="n">
        <v>123790.458</v>
      </c>
      <c r="C55" s="8" t="n">
        <v>387.97</v>
      </c>
      <c r="D55" s="8" t="n">
        <f aca="false">SQRT((A55-A54)^2+(B55-B54)^2)</f>
        <v>0.943136257377415</v>
      </c>
      <c r="E55" s="8" t="n">
        <f aca="false">E54+D55</f>
        <v>77.6559286968946</v>
      </c>
    </row>
    <row r="56" customFormat="false" ht="12.75" hidden="false" customHeight="false" outlineLevel="0" collapsed="false">
      <c r="A56" s="8" t="n">
        <v>563853.064</v>
      </c>
      <c r="B56" s="8" t="n">
        <v>123791.427</v>
      </c>
      <c r="C56" s="8" t="n">
        <v>388.12</v>
      </c>
      <c r="D56" s="8" t="n">
        <f aca="false">SQRT((A56-A55)^2+(B56-B55)^2)</f>
        <v>1.54862035372023</v>
      </c>
      <c r="E56" s="8" t="n">
        <f aca="false">E55+D56</f>
        <v>79.2045490506149</v>
      </c>
    </row>
    <row r="57" customFormat="false" ht="12.75" hidden="false" customHeight="false" outlineLevel="0" collapsed="false">
      <c r="A57" s="8" t="n">
        <v>563853.845</v>
      </c>
      <c r="B57" s="8" t="n">
        <v>123792.055</v>
      </c>
      <c r="C57" s="8" t="n">
        <v>388.11</v>
      </c>
      <c r="D57" s="8" t="n">
        <f aca="false">SQRT((A57-A56)^2+(B57-B56)^2)</f>
        <v>1.002170145201</v>
      </c>
      <c r="E57" s="8" t="n">
        <f aca="false">E56+D57</f>
        <v>80.2067191958158</v>
      </c>
    </row>
    <row r="58" customFormat="false" ht="12.75" hidden="false" customHeight="false" outlineLevel="0" collapsed="false">
      <c r="A58" s="8" t="n">
        <v>563854.963</v>
      </c>
      <c r="B58" s="8" t="n">
        <v>123792.952</v>
      </c>
      <c r="C58" s="8" t="n">
        <v>388</v>
      </c>
      <c r="D58" s="8" t="n">
        <f aca="false">SQRT((A58-A57)^2+(B58-B57)^2)</f>
        <v>1.43336422449375</v>
      </c>
      <c r="E58" s="8" t="n">
        <f aca="false">E57+D58</f>
        <v>81.6400834203096</v>
      </c>
    </row>
    <row r="59" customFormat="false" ht="12.75" hidden="false" customHeight="false" outlineLevel="0" collapsed="false">
      <c r="A59" s="8" t="n">
        <v>563855.804</v>
      </c>
      <c r="B59" s="8" t="n">
        <v>123793.627</v>
      </c>
      <c r="C59" s="8" t="n">
        <v>388.06</v>
      </c>
      <c r="D59" s="8" t="n">
        <f aca="false">SQRT((A59-A58)^2+(B59-B58)^2)</f>
        <v>1.07838119420238</v>
      </c>
      <c r="E59" s="8" t="n">
        <f aca="false">E58+D59</f>
        <v>82.718464614512</v>
      </c>
    </row>
    <row r="60" customFormat="false" ht="12.75" hidden="false" customHeight="false" outlineLevel="0" collapsed="false">
      <c r="A60" s="8" t="n">
        <v>563856.657</v>
      </c>
      <c r="B60" s="8" t="n">
        <v>123794.312</v>
      </c>
      <c r="C60" s="8" t="n">
        <v>388.03</v>
      </c>
      <c r="D60" s="8" t="n">
        <f aca="false">SQRT((A60-A59)^2+(B60-B59)^2)</f>
        <v>1.09399908593267</v>
      </c>
      <c r="E60" s="8" t="n">
        <f aca="false">E59+D60</f>
        <v>83.8124637004446</v>
      </c>
    </row>
    <row r="61" customFormat="false" ht="12.75" hidden="false" customHeight="false" outlineLevel="0" collapsed="false">
      <c r="A61" s="8" t="n">
        <v>563857.321</v>
      </c>
      <c r="B61" s="8" t="n">
        <v>123794.845</v>
      </c>
      <c r="C61" s="8" t="n">
        <v>388</v>
      </c>
      <c r="D61" s="8" t="n">
        <f aca="false">SQRT((A61-A60)^2+(B61-B60)^2)</f>
        <v>0.851460509936854</v>
      </c>
      <c r="E61" s="8" t="n">
        <f aca="false">E60+D61</f>
        <v>84.6639242103815</v>
      </c>
    </row>
    <row r="62" customFormat="false" ht="12.75" hidden="false" customHeight="false" outlineLevel="0" collapsed="false">
      <c r="A62" s="8" t="n">
        <v>563858.121</v>
      </c>
      <c r="B62" s="8" t="n">
        <v>123795.487</v>
      </c>
      <c r="C62" s="8" t="n">
        <v>387.94</v>
      </c>
      <c r="D62" s="8" t="n">
        <f aca="false">SQRT((A62-A61)^2+(B62-B61)^2)</f>
        <v>1.02575045701425</v>
      </c>
      <c r="E62" s="8" t="n">
        <f aca="false">E61+D62</f>
        <v>85.6896746673958</v>
      </c>
    </row>
    <row r="63" customFormat="false" ht="12.75" hidden="false" customHeight="false" outlineLevel="0" collapsed="false">
      <c r="A63" s="8" t="n">
        <v>563860.059</v>
      </c>
      <c r="B63" s="8" t="n">
        <v>123797.043</v>
      </c>
      <c r="C63" s="8" t="n">
        <v>387.91</v>
      </c>
      <c r="D63" s="8" t="n">
        <f aca="false">SQRT((A63-A62)^2+(B63-B62)^2)</f>
        <v>2.48535309360701</v>
      </c>
      <c r="E63" s="8" t="n">
        <f aca="false">E62+D63</f>
        <v>88.1750277610028</v>
      </c>
    </row>
    <row r="64" customFormat="false" ht="12.75" hidden="false" customHeight="false" outlineLevel="0" collapsed="false">
      <c r="A64" s="8" t="n">
        <v>563861.207</v>
      </c>
      <c r="B64" s="8" t="n">
        <v>123797.965</v>
      </c>
      <c r="C64" s="8" t="n">
        <v>388.09</v>
      </c>
      <c r="D64" s="8" t="n">
        <f aca="false">SQRT((A64-A63)^2+(B64-B63)^2)</f>
        <v>1.47240891062461</v>
      </c>
      <c r="E64" s="8" t="n">
        <f aca="false">E63+D64</f>
        <v>89.6474366716274</v>
      </c>
    </row>
    <row r="65" customFormat="false" ht="12.75" hidden="false" customHeight="false" outlineLevel="0" collapsed="false">
      <c r="A65" s="8" t="n">
        <v>563862.252</v>
      </c>
      <c r="B65" s="8" t="n">
        <v>123798.804</v>
      </c>
      <c r="C65" s="8" t="n">
        <v>388.03</v>
      </c>
      <c r="D65" s="8" t="n">
        <f aca="false">SQRT((A65-A64)^2+(B65-B64)^2)</f>
        <v>1.34012909820524</v>
      </c>
      <c r="E65" s="8" t="n">
        <f aca="false">E64+D65</f>
        <v>90.9875657698326</v>
      </c>
    </row>
    <row r="66" customFormat="false" ht="12.75" hidden="false" customHeight="false" outlineLevel="0" collapsed="false">
      <c r="A66" s="8" t="n">
        <v>563863.26</v>
      </c>
      <c r="B66" s="8" t="n">
        <v>123799.613</v>
      </c>
      <c r="C66" s="8" t="n">
        <v>388.06</v>
      </c>
      <c r="D66" s="8" t="n">
        <f aca="false">SQRT((A66-A65)^2+(B66-B65)^2)</f>
        <v>1.29249564798183</v>
      </c>
      <c r="E66" s="8" t="n">
        <f aca="false">E65+D66</f>
        <v>92.2800614178145</v>
      </c>
    </row>
    <row r="67" customFormat="false" ht="12.75" hidden="false" customHeight="false" outlineLevel="0" collapsed="false">
      <c r="A67" s="8" t="n">
        <v>563864.111</v>
      </c>
      <c r="B67" s="8" t="n">
        <v>123800.296</v>
      </c>
      <c r="C67" s="8" t="n">
        <v>388.1</v>
      </c>
      <c r="D67" s="8" t="n">
        <f aca="false">SQRT((A67-A66)^2+(B67-B66)^2)</f>
        <v>1.0911874266355</v>
      </c>
      <c r="E67" s="8" t="n">
        <f aca="false">E66+D67</f>
        <v>93.37124884445</v>
      </c>
    </row>
    <row r="68" customFormat="false" ht="12.75" hidden="false" customHeight="false" outlineLevel="0" collapsed="false">
      <c r="A68" s="8" t="n">
        <v>563864.885</v>
      </c>
      <c r="B68" s="8" t="n">
        <v>123800.918</v>
      </c>
      <c r="C68" s="8" t="n">
        <v>388.39</v>
      </c>
      <c r="D68" s="8" t="n">
        <f aca="false">SQRT((A68-A67)^2+(B68-B67)^2)</f>
        <v>0.992955185275892</v>
      </c>
      <c r="E68" s="8" t="n">
        <f aca="false">E67+D68</f>
        <v>94.3642040297258</v>
      </c>
    </row>
    <row r="69" customFormat="false" ht="12.75" hidden="false" customHeight="false" outlineLevel="0" collapsed="false">
      <c r="A69" s="8" t="n">
        <v>563865.566</v>
      </c>
      <c r="B69" s="8" t="n">
        <v>123801.464</v>
      </c>
      <c r="C69" s="8" t="n">
        <v>388.2</v>
      </c>
      <c r="D69" s="8" t="n">
        <f aca="false">SQRT((A69-A68)^2+(B69-B68)^2)</f>
        <v>0.872855658157858</v>
      </c>
      <c r="E69" s="8" t="n">
        <f aca="false">E68+D69</f>
        <v>95.2370596878837</v>
      </c>
    </row>
    <row r="70" customFormat="false" ht="12.75" hidden="false" customHeight="false" outlineLevel="0" collapsed="false">
      <c r="A70" s="8" t="n">
        <v>563866.28</v>
      </c>
      <c r="B70" s="8" t="n">
        <v>123802.038</v>
      </c>
      <c r="C70" s="8" t="n">
        <v>387.78</v>
      </c>
      <c r="D70" s="8" t="n">
        <f aca="false">SQRT((A70-A69)^2+(B70-B69)^2)</f>
        <v>0.916117896367119</v>
      </c>
      <c r="E70" s="8" t="n">
        <f aca="false">E69+D70</f>
        <v>96.1531775842508</v>
      </c>
    </row>
    <row r="71" customFormat="false" ht="12.75" hidden="false" customHeight="false" outlineLevel="0" collapsed="false">
      <c r="A71" s="8" t="n">
        <v>563867.083</v>
      </c>
      <c r="B71" s="8" t="n">
        <v>123802.683</v>
      </c>
      <c r="C71" s="8" t="n">
        <v>387.65</v>
      </c>
      <c r="D71" s="8" t="n">
        <f aca="false">SQRT((A71-A70)^2+(B71-B70)^2)</f>
        <v>1.02996796063516</v>
      </c>
      <c r="E71" s="8" t="n">
        <f aca="false">E70+D71</f>
        <v>97.183145544886</v>
      </c>
    </row>
    <row r="72" customFormat="false" ht="12.75" hidden="false" customHeight="false" outlineLevel="0" collapsed="false">
      <c r="A72" s="8" t="n">
        <v>563867.87</v>
      </c>
      <c r="B72" s="8" t="n">
        <v>123803.314</v>
      </c>
      <c r="C72" s="8" t="n">
        <v>387.68</v>
      </c>
      <c r="D72" s="8" t="n">
        <f aca="false">SQRT((A72-A71)^2+(B72-B71)^2)</f>
        <v>1.00872692043484</v>
      </c>
      <c r="E72" s="8" t="n">
        <f aca="false">E71+D72</f>
        <v>98.1918724653208</v>
      </c>
    </row>
    <row r="73" customFormat="false" ht="12.75" hidden="false" customHeight="false" outlineLevel="0" collapsed="false">
      <c r="A73" s="8" t="n">
        <v>563868.538</v>
      </c>
      <c r="B73" s="8" t="n">
        <v>123803.85</v>
      </c>
      <c r="C73" s="8" t="n">
        <v>388.14</v>
      </c>
      <c r="D73" s="8" t="n">
        <f aca="false">SQRT((A73-A72)^2+(B73-B72)^2)</f>
        <v>0.856457821458208</v>
      </c>
      <c r="E73" s="8" t="n">
        <f aca="false">E72+D73</f>
        <v>99.048330286779</v>
      </c>
    </row>
    <row r="74" customFormat="false" ht="12.75" hidden="false" customHeight="false" outlineLevel="0" collapsed="false">
      <c r="A74" s="8" t="n">
        <v>563869.28</v>
      </c>
      <c r="B74" s="8" t="n">
        <v>123804.446</v>
      </c>
      <c r="C74" s="8" t="n">
        <v>388.825</v>
      </c>
      <c r="D74" s="8" t="n">
        <f aca="false">SQRT((A74-A73)^2+(B74-B73)^2)</f>
        <v>0.951724750185563</v>
      </c>
      <c r="E74" s="8" t="n">
        <f aca="false">E73+D74</f>
        <v>100.000055036965</v>
      </c>
    </row>
    <row r="75" customFormat="false" ht="12.75" hidden="false" customHeight="false" outlineLevel="0" collapsed="false">
      <c r="A75" s="8" t="n">
        <v>563869.736</v>
      </c>
      <c r="B75" s="8" t="n">
        <v>123804.813</v>
      </c>
      <c r="C75" s="8" t="n">
        <v>389.508</v>
      </c>
      <c r="D75" s="8" t="n">
        <f aca="false">SQRT((A75-A74)^2+(B75-B74)^2)</f>
        <v>0.585341780504262</v>
      </c>
      <c r="E75" s="8" t="n">
        <f aca="false">E74+D75</f>
        <v>100.585396817469</v>
      </c>
    </row>
    <row r="76" customFormat="false" ht="12.75" hidden="false" customHeight="false" outlineLevel="0" collapsed="false">
      <c r="A76" s="8" t="n">
        <v>563870.208</v>
      </c>
      <c r="B76" s="8" t="n">
        <v>123805.191</v>
      </c>
      <c r="C76" s="8" t="n">
        <v>389.842</v>
      </c>
      <c r="D76" s="8" t="n">
        <f aca="false">SQRT((A76-A75)^2+(B76-B75)^2)</f>
        <v>0.604704886669619</v>
      </c>
      <c r="E76" s="8" t="n">
        <f aca="false">E75+D76</f>
        <v>101.190101704139</v>
      </c>
    </row>
    <row r="77" customFormat="false" ht="12.75" hidden="false" customHeight="false" outlineLevel="0" collapsed="false">
      <c r="A77" s="8" t="n">
        <v>563870.593</v>
      </c>
      <c r="B77" s="8" t="n">
        <v>123805.501</v>
      </c>
      <c r="C77" s="8" t="n">
        <v>389.965</v>
      </c>
      <c r="D77" s="8" t="n">
        <f aca="false">SQRT((A77-A76)^2+(B77-B76)^2)</f>
        <v>0.494292423577104</v>
      </c>
      <c r="E77" s="8" t="n">
        <f aca="false">E76+D77</f>
        <v>101.684394127716</v>
      </c>
    </row>
    <row r="78" customFormat="false" ht="12.75" hidden="false" customHeight="false" outlineLevel="0" collapsed="false">
      <c r="A78" s="8" t="n">
        <v>563870.804</v>
      </c>
      <c r="B78" s="8" t="n">
        <v>123805.67</v>
      </c>
      <c r="C78" s="8" t="n">
        <v>390.002</v>
      </c>
      <c r="D78" s="8" t="n">
        <f aca="false">SQRT((A78-A77)^2+(B78-B77)^2)</f>
        <v>0.270336826944526</v>
      </c>
      <c r="E78" s="8" t="n">
        <f aca="false">E77+D78</f>
        <v>101.95473095466</v>
      </c>
    </row>
    <row r="79" customFormat="false" ht="12.75" hidden="false" customHeight="false" outlineLevel="0" collapsed="false">
      <c r="A79" s="8" t="n">
        <v>563871.124</v>
      </c>
      <c r="B79" s="8" t="n">
        <v>123805.927</v>
      </c>
      <c r="C79" s="8" t="n">
        <v>390.659</v>
      </c>
      <c r="D79" s="8" t="n">
        <f aca="false">SQRT((A79-A78)^2+(B79-B78)^2)</f>
        <v>0.410425389036888</v>
      </c>
      <c r="E79" s="8" t="n">
        <f aca="false">E78+D79</f>
        <v>102.365156343697</v>
      </c>
    </row>
    <row r="80" customFormat="false" ht="12.75" hidden="false" customHeight="false" outlineLevel="0" collapsed="false">
      <c r="A80" s="8" t="n">
        <v>563872.465</v>
      </c>
      <c r="B80" s="8" t="n">
        <v>123807.004</v>
      </c>
      <c r="C80" s="8" t="n">
        <v>391.574</v>
      </c>
      <c r="D80" s="8" t="n">
        <f aca="false">SQRT((A80-A79)^2+(B80-B79)^2)</f>
        <v>1.71994476656963</v>
      </c>
      <c r="E80" s="8" t="n">
        <f aca="false">E79+D80</f>
        <v>104.085101110267</v>
      </c>
    </row>
    <row r="81" customFormat="false" ht="12.75" hidden="false" customHeight="false" outlineLevel="0" collapsed="false">
      <c r="A81" s="8" t="n">
        <v>563873.642</v>
      </c>
      <c r="B81" s="8" t="n">
        <v>123807.949</v>
      </c>
      <c r="C81" s="8" t="n">
        <v>392.522</v>
      </c>
      <c r="D81" s="8" t="n">
        <f aca="false">SQRT((A81-A80)^2+(B81-B80)^2)</f>
        <v>1.50942174359749</v>
      </c>
      <c r="E81" s="8" t="n">
        <f aca="false">E80+D81</f>
        <v>105.594522853864</v>
      </c>
    </row>
    <row r="82" customFormat="false" ht="12.75" hidden="false" customHeight="false" outlineLevel="0" collapsed="false">
      <c r="A82" s="8" t="n">
        <v>563874.433</v>
      </c>
      <c r="B82" s="8" t="n">
        <v>123808.584</v>
      </c>
      <c r="C82" s="8" t="n">
        <v>393.248</v>
      </c>
      <c r="D82" s="8" t="n">
        <f aca="false">SQRT((A82-A81)^2+(B82-B81)^2)</f>
        <v>1.01435003818294</v>
      </c>
      <c r="E82" s="8" t="n">
        <f aca="false">E81+D82</f>
        <v>106.608872892047</v>
      </c>
    </row>
    <row r="83" customFormat="false" ht="12.75" hidden="false" customHeight="false" outlineLevel="0" collapsed="false">
      <c r="A83" s="8" t="n">
        <v>563875.464</v>
      </c>
      <c r="B83" s="8" t="n">
        <v>123809.412</v>
      </c>
      <c r="C83" s="8" t="n">
        <v>393.39</v>
      </c>
      <c r="D83" s="8" t="n">
        <f aca="false">SQRT((A83-A82)^2+(B83-B82)^2)</f>
        <v>1.32232560292302</v>
      </c>
      <c r="E83" s="8" t="n">
        <f aca="false">E82+D83</f>
        <v>107.93119849497</v>
      </c>
    </row>
    <row r="84" customFormat="false" ht="12.75" hidden="false" customHeight="false" outlineLevel="0" collapsed="false">
      <c r="A84" s="8" t="n">
        <v>563876.468</v>
      </c>
      <c r="B84" s="8" t="n">
        <v>123810.217</v>
      </c>
      <c r="C84" s="8" t="n">
        <v>393.756</v>
      </c>
      <c r="D84" s="8" t="n">
        <f aca="false">SQRT((A84-A83)^2+(B84-B83)^2)</f>
        <v>1.28687256553482</v>
      </c>
      <c r="E84" s="8" t="n">
        <f aca="false">E83+D84</f>
        <v>109.218071060505</v>
      </c>
    </row>
    <row r="85" customFormat="false" ht="12.75" hidden="false" customHeight="false" outlineLevel="0" collapsed="false">
      <c r="A85" s="8" t="n">
        <v>563878.084</v>
      </c>
      <c r="B85" s="8" t="n">
        <v>123811.467</v>
      </c>
      <c r="C85" s="8" t="n">
        <v>395.747</v>
      </c>
      <c r="D85" s="8" t="n">
        <f aca="false">SQRT((A85-A84)^2+(B85-B84)^2)</f>
        <v>2.04302618684231</v>
      </c>
      <c r="E85" s="8" t="n">
        <f aca="false">E84+D85</f>
        <v>111.261097247347</v>
      </c>
    </row>
    <row r="86" customFormat="false" ht="12.75" hidden="false" customHeight="false" outlineLevel="0" collapsed="false">
      <c r="A86" s="8" t="n">
        <v>563878.311</v>
      </c>
      <c r="B86" s="8" t="n">
        <v>123811.697</v>
      </c>
      <c r="C86" s="8" t="n">
        <v>395.092</v>
      </c>
      <c r="D86" s="8" t="n">
        <f aca="false">SQRT((A86-A85)^2+(B86-B85)^2)</f>
        <v>0.323154761651179</v>
      </c>
      <c r="E86" s="8" t="n">
        <f aca="false">E85+D86</f>
        <v>111.584252008998</v>
      </c>
    </row>
    <row r="87" customFormat="false" ht="12.75" hidden="false" customHeight="false" outlineLevel="0" collapsed="false">
      <c r="A87" s="8" t="n">
        <v>563878.804</v>
      </c>
      <c r="B87" s="8" t="n">
        <v>123812.093</v>
      </c>
      <c r="C87" s="8" t="n">
        <v>395.277</v>
      </c>
      <c r="D87" s="8" t="n">
        <f aca="false">SQRT((A87-A86)^2+(B87-B86)^2)</f>
        <v>0.63234879616496</v>
      </c>
      <c r="E87" s="8" t="n">
        <f aca="false">E86+D87</f>
        <v>112.216600805163</v>
      </c>
    </row>
    <row r="88" customFormat="false" ht="12.75" hidden="false" customHeight="false" outlineLevel="0" collapsed="false">
      <c r="A88" s="8" t="n">
        <v>563880.994</v>
      </c>
      <c r="B88" s="8" t="n">
        <v>123813.851</v>
      </c>
      <c r="C88" s="8" t="n">
        <v>395.273</v>
      </c>
      <c r="D88" s="8" t="n">
        <f aca="false">SQRT((A88-A87)^2+(B88-B87)^2)</f>
        <v>2.80832049448794</v>
      </c>
      <c r="E88" s="8" t="n">
        <f aca="false">E87+D88</f>
        <v>115.024921299651</v>
      </c>
    </row>
    <row r="89" customFormat="false" ht="12.75" hidden="false" customHeight="false" outlineLevel="0" collapsed="false">
      <c r="A89" s="8" t="n">
        <v>563882.173</v>
      </c>
      <c r="B89" s="8" t="n">
        <v>123814.798</v>
      </c>
      <c r="C89" s="8" t="n">
        <v>395.054</v>
      </c>
      <c r="D89" s="8" t="n">
        <f aca="false">SQRT((A89-A88)^2+(B89-B88)^2)</f>
        <v>1.51223344758969</v>
      </c>
      <c r="E89" s="8" t="n">
        <f aca="false">E88+D89</f>
        <v>116.537154747241</v>
      </c>
    </row>
    <row r="90" customFormat="false" ht="12.75" hidden="false" customHeight="false" outlineLevel="0" collapsed="false">
      <c r="A90" s="8" t="n">
        <v>563885.567</v>
      </c>
      <c r="B90" s="8" t="n">
        <v>123817.522</v>
      </c>
      <c r="C90" s="8" t="n">
        <v>392.289</v>
      </c>
      <c r="D90" s="8" t="n">
        <f aca="false">SQRT((A90-A89)^2+(B90-B89)^2)</f>
        <v>4.35194347396712</v>
      </c>
      <c r="E90" s="8" t="n">
        <f aca="false">E89+D90</f>
        <v>120.889098221208</v>
      </c>
    </row>
    <row r="91" customFormat="false" ht="12.75" hidden="false" customHeight="false" outlineLevel="0" collapsed="false">
      <c r="A91" s="8" t="n">
        <v>563887.279</v>
      </c>
      <c r="B91" s="8" t="n">
        <v>123818.897</v>
      </c>
      <c r="C91" s="8" t="n">
        <v>392.38</v>
      </c>
      <c r="D91" s="8" t="n">
        <f aca="false">SQRT((A91-A90)^2+(B91-B90)^2)</f>
        <v>2.19580714084801</v>
      </c>
      <c r="E91" s="8" t="n">
        <f aca="false">E90+D91</f>
        <v>123.084905362056</v>
      </c>
    </row>
    <row r="92" customFormat="false" ht="12.75" hidden="false" customHeight="false" outlineLevel="0" collapsed="false">
      <c r="A92" s="8" t="n">
        <v>563890.555</v>
      </c>
      <c r="B92" s="8" t="n">
        <v>123821.527</v>
      </c>
      <c r="C92" s="8" t="n">
        <v>391.973</v>
      </c>
      <c r="D92" s="8" t="n">
        <f aca="false">SQRT((A92-A91)^2+(B92-B91)^2)</f>
        <v>4.20108033730471</v>
      </c>
      <c r="E92" s="8" t="n">
        <f aca="false">E91+D92</f>
        <v>127.285985699361</v>
      </c>
    </row>
    <row r="93" customFormat="false" ht="12.75" hidden="false" customHeight="false" outlineLevel="0" collapsed="false">
      <c r="D93" s="9"/>
      <c r="E93" s="9"/>
    </row>
    <row r="94" customFormat="false" ht="12.75" hidden="false" customHeight="false" outlineLevel="0" collapsed="false">
      <c r="D94" s="9"/>
      <c r="E94" s="9"/>
    </row>
    <row r="95" customFormat="false" ht="12.75" hidden="false" customHeight="false" outlineLevel="0" collapsed="false">
      <c r="D95" s="9"/>
      <c r="E95" s="9"/>
    </row>
    <row r="96" customFormat="false" ht="12.75" hidden="false" customHeight="false" outlineLevel="0" collapsed="false">
      <c r="D96" s="9"/>
      <c r="E96" s="9"/>
    </row>
    <row r="97" customFormat="false" ht="12.75" hidden="false" customHeight="false" outlineLevel="0" collapsed="false">
      <c r="D97" s="9"/>
      <c r="E97" s="9"/>
    </row>
    <row r="98" customFormat="false" ht="12.75" hidden="false" customHeight="false" outlineLevel="0" collapsed="false">
      <c r="D98" s="9"/>
      <c r="E98" s="9"/>
    </row>
    <row r="99" customFormat="false" ht="12.75" hidden="false" customHeight="false" outlineLevel="0" collapsed="false">
      <c r="D99" s="9"/>
      <c r="E99" s="9"/>
    </row>
    <row r="100" customFormat="false" ht="12.75" hidden="false" customHeight="false" outlineLevel="0" collapsed="false">
      <c r="D100" s="9"/>
      <c r="E100" s="9"/>
    </row>
    <row r="101" customFormat="false" ht="12.75" hidden="false" customHeight="false" outlineLevel="0" collapsed="false">
      <c r="D101" s="9"/>
      <c r="E101" s="9"/>
    </row>
    <row r="102" customFormat="false" ht="12.75" hidden="false" customHeight="false" outlineLevel="0" collapsed="false">
      <c r="D102" s="9"/>
      <c r="E102" s="9"/>
    </row>
    <row r="103" customFormat="false" ht="12.75" hidden="false" customHeight="false" outlineLevel="0" collapsed="false">
      <c r="D103" s="9"/>
      <c r="E103" s="9"/>
    </row>
    <row r="104" customFormat="false" ht="12.75" hidden="false" customHeight="false" outlineLevel="0" collapsed="false">
      <c r="D104" s="9"/>
      <c r="E104" s="9"/>
    </row>
    <row r="105" customFormat="false" ht="12.75" hidden="false" customHeight="false" outlineLevel="0" collapsed="false">
      <c r="D105" s="9"/>
      <c r="E105" s="9"/>
    </row>
    <row r="106" customFormat="false" ht="12.75" hidden="false" customHeight="false" outlineLevel="0" collapsed="false">
      <c r="D106" s="9"/>
      <c r="E106" s="9"/>
    </row>
    <row r="107" customFormat="false" ht="12.75" hidden="false" customHeight="false" outlineLevel="0" collapsed="false">
      <c r="D107" s="9"/>
      <c r="E107" s="9"/>
    </row>
    <row r="108" customFormat="false" ht="12.75" hidden="false" customHeight="false" outlineLevel="0" collapsed="false">
      <c r="D108" s="9"/>
      <c r="E108" s="9"/>
    </row>
    <row r="109" customFormat="false" ht="12.75" hidden="false" customHeight="false" outlineLevel="0" collapsed="false">
      <c r="D109" s="9"/>
      <c r="E109" s="9"/>
    </row>
    <row r="110" customFormat="false" ht="12.75" hidden="false" customHeight="false" outlineLevel="0" collapsed="false">
      <c r="D110" s="9"/>
      <c r="E110" s="9"/>
    </row>
    <row r="111" customFormat="false" ht="12.75" hidden="false" customHeight="false" outlineLevel="0" collapsed="false">
      <c r="D111" s="9"/>
      <c r="E111" s="9"/>
    </row>
    <row r="112" customFormat="false" ht="12.75" hidden="false" customHeight="false" outlineLevel="0" collapsed="false">
      <c r="D112" s="9"/>
      <c r="E112" s="9"/>
    </row>
    <row r="113" customFormat="false" ht="12.75" hidden="false" customHeight="false" outlineLevel="0" collapsed="false">
      <c r="D113" s="9"/>
      <c r="E113" s="9"/>
    </row>
    <row r="114" customFormat="false" ht="12.75" hidden="false" customHeight="false" outlineLevel="0" collapsed="false">
      <c r="D114" s="9"/>
      <c r="E114" s="9"/>
    </row>
    <row r="115" customFormat="false" ht="12.75" hidden="false" customHeight="false" outlineLevel="0" collapsed="false">
      <c r="D115" s="9"/>
      <c r="E115" s="9"/>
    </row>
    <row r="116" customFormat="false" ht="12.75" hidden="false" customHeight="false" outlineLevel="0" collapsed="false">
      <c r="D116" s="9"/>
      <c r="E116" s="9"/>
    </row>
    <row r="117" customFormat="false" ht="12.75" hidden="false" customHeight="false" outlineLevel="0" collapsed="false">
      <c r="D117" s="9"/>
      <c r="E117" s="9"/>
    </row>
    <row r="118" customFormat="false" ht="12.75" hidden="false" customHeight="false" outlineLevel="0" collapsed="false">
      <c r="D118" s="9"/>
      <c r="E118" s="9"/>
    </row>
    <row r="119" customFormat="false" ht="12.75" hidden="false" customHeight="false" outlineLevel="0" collapsed="false">
      <c r="D119" s="9"/>
      <c r="E119" s="9"/>
    </row>
    <row r="120" customFormat="false" ht="12.75" hidden="false" customHeight="false" outlineLevel="0" collapsed="false">
      <c r="D120" s="9"/>
      <c r="E120" s="9"/>
    </row>
    <row r="121" customFormat="false" ht="12.75" hidden="false" customHeight="false" outlineLevel="0" collapsed="false">
      <c r="D121" s="9"/>
      <c r="E121" s="9"/>
    </row>
    <row r="122" customFormat="false" ht="12.75" hidden="false" customHeight="false" outlineLevel="0" collapsed="false">
      <c r="D122" s="9"/>
      <c r="E122" s="9"/>
    </row>
    <row r="123" customFormat="false" ht="12.75" hidden="false" customHeight="false" outlineLevel="0" collapsed="false">
      <c r="D123" s="9"/>
      <c r="E123" s="9"/>
    </row>
    <row r="124" customFormat="false" ht="12.75" hidden="false" customHeight="false" outlineLevel="0" collapsed="false">
      <c r="D124" s="9"/>
      <c r="E124" s="9"/>
    </row>
    <row r="125" customFormat="false" ht="12.75" hidden="false" customHeight="false" outlineLevel="0" collapsed="false">
      <c r="D125" s="9"/>
      <c r="E125" s="9"/>
    </row>
    <row r="126" customFormat="false" ht="12.75" hidden="false" customHeight="false" outlineLevel="0" collapsed="false">
      <c r="D126" s="9"/>
      <c r="E126" s="9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8" activeCellId="0" sqref="G38"/>
    </sheetView>
  </sheetViews>
  <sheetFormatPr defaultColWidth="8.90234375" defaultRowHeight="12.75" zeroHeight="false" outlineLevelRow="0" outlineLevelCol="0"/>
  <cols>
    <col collapsed="false" customWidth="true" hidden="false" outlineLevel="0" max="1" min="1" style="11" width="12.1"/>
    <col collapsed="false" customWidth="true" hidden="false" outlineLevel="0" max="2" min="2" style="11" width="22.89"/>
    <col collapsed="false" customWidth="false" hidden="false" outlineLevel="0" max="1024" min="3" style="11" width="8.89"/>
  </cols>
  <sheetData>
    <row r="1" customFormat="false" ht="12.75" hidden="false" customHeight="false" outlineLevel="0" collapsed="false">
      <c r="A1" s="12" t="s">
        <v>5</v>
      </c>
      <c r="B1" s="12" t="s">
        <v>6</v>
      </c>
    </row>
    <row r="2" customFormat="false" ht="14.25" hidden="false" customHeight="false" outlineLevel="0" collapsed="false">
      <c r="A2" s="13" t="n">
        <v>0</v>
      </c>
      <c r="B2" s="13" t="n">
        <v>0.15</v>
      </c>
    </row>
    <row r="3" customFormat="false" ht="14.25" hidden="false" customHeight="false" outlineLevel="0" collapsed="false">
      <c r="A3" s="13" t="n">
        <v>16</v>
      </c>
      <c r="B3" s="13" t="n">
        <v>0.45</v>
      </c>
    </row>
    <row r="4" customFormat="false" ht="14.25" hidden="false" customHeight="false" outlineLevel="0" collapsed="false">
      <c r="A4" s="13" t="n">
        <v>33</v>
      </c>
      <c r="B4" s="13" t="n">
        <v>1.2</v>
      </c>
    </row>
    <row r="5" customFormat="false" ht="14.25" hidden="false" customHeight="false" outlineLevel="0" collapsed="false">
      <c r="A5" s="13" t="n">
        <v>46.7</v>
      </c>
      <c r="B5" s="13" t="n">
        <v>2.4</v>
      </c>
    </row>
    <row r="6" customFormat="false" ht="14.25" hidden="false" customHeight="false" outlineLevel="0" collapsed="false">
      <c r="A6" s="13" t="n">
        <v>57.9</v>
      </c>
      <c r="B6" s="13" t="n">
        <v>3.6</v>
      </c>
    </row>
    <row r="7" customFormat="false" ht="14.25" hidden="false" customHeight="false" outlineLevel="0" collapsed="false">
      <c r="A7" s="13" t="n">
        <v>66.1</v>
      </c>
      <c r="B7" s="13" t="n">
        <v>4.8</v>
      </c>
    </row>
    <row r="8" customFormat="false" ht="14.25" hidden="false" customHeight="false" outlineLevel="0" collapsed="false">
      <c r="A8" s="13" t="n">
        <v>80.9</v>
      </c>
      <c r="B8" s="13" t="n">
        <v>7.2</v>
      </c>
    </row>
    <row r="9" customFormat="false" ht="14.25" hidden="false" customHeight="false" outlineLevel="0" collapsed="false">
      <c r="A9" s="13" t="n">
        <v>90</v>
      </c>
      <c r="B9" s="13" t="n">
        <v>10</v>
      </c>
    </row>
    <row r="10" customFormat="false" ht="14.25" hidden="false" customHeight="false" outlineLevel="0" collapsed="false">
      <c r="A10" s="13" t="n">
        <v>100</v>
      </c>
      <c r="B10" s="13" t="n">
        <v>15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0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35" activeCellId="0" sqref="G35"/>
    </sheetView>
  </sheetViews>
  <sheetFormatPr defaultColWidth="8.90234375" defaultRowHeight="15" zeroHeight="false" outlineLevelRow="0" outlineLevelCol="0"/>
  <cols>
    <col collapsed="false" customWidth="true" hidden="false" outlineLevel="0" max="4" min="1" style="14" width="20.56"/>
    <col collapsed="false" customWidth="true" hidden="false" outlineLevel="0" max="6" min="5" style="11" width="20.56"/>
    <col collapsed="false" customWidth="false" hidden="false" outlineLevel="0" max="7" min="7" style="14" width="8.89"/>
    <col collapsed="false" customWidth="true" hidden="false" outlineLevel="0" max="8" min="8" style="14" width="32.78"/>
    <col collapsed="false" customWidth="false" hidden="false" outlineLevel="0" max="9" min="9" style="14" width="8.89"/>
    <col collapsed="false" customWidth="true" hidden="false" outlineLevel="0" max="10" min="10" style="14" width="11.99"/>
    <col collapsed="false" customWidth="false" hidden="false" outlineLevel="0" max="13" min="11" style="14" width="8.89"/>
    <col collapsed="false" customWidth="true" hidden="false" outlineLevel="0" max="14" min="14" style="14" width="13.1"/>
    <col collapsed="false" customWidth="false" hidden="false" outlineLevel="0" max="1024" min="15" style="14" width="8.89"/>
  </cols>
  <sheetData>
    <row r="1" s="17" customFormat="true" ht="42" hidden="false" customHeight="false" outlineLevel="0" collapsed="false">
      <c r="A1" s="15" t="s">
        <v>7</v>
      </c>
      <c r="B1" s="16" t="s">
        <v>8</v>
      </c>
      <c r="C1" s="15" t="s">
        <v>9</v>
      </c>
      <c r="D1" s="15" t="s">
        <v>10</v>
      </c>
      <c r="E1" s="15" t="s">
        <v>11</v>
      </c>
      <c r="F1" s="15" t="s">
        <v>12</v>
      </c>
      <c r="H1" s="18" t="s">
        <v>13</v>
      </c>
      <c r="I1" s="15" t="s">
        <v>14</v>
      </c>
      <c r="J1" s="15" t="s">
        <v>15</v>
      </c>
      <c r="K1" s="15" t="s">
        <v>16</v>
      </c>
      <c r="L1" s="19"/>
    </row>
    <row r="2" customFormat="false" ht="15" hidden="false" customHeight="true" outlineLevel="0" collapsed="false">
      <c r="A2" s="20" t="n">
        <v>0.0001</v>
      </c>
      <c r="B2" s="21" t="n">
        <f aca="false">(A2^3*($J$2-$J$3)*$J$4/($J$3*$J$5^2))^(1/3)</f>
        <v>2.10643012741123</v>
      </c>
      <c r="C2" s="21" t="n">
        <f aca="false">0.13*(B2^(-0.392))*EXP(-0.015*(B2^2))+0.045*(1-EXP(-0.068*B2))</f>
        <v>0.0968308878559389</v>
      </c>
      <c r="D2" s="21" t="n">
        <f aca="false">(B2^3*C2)^0.5</f>
        <v>0.951322007174985</v>
      </c>
      <c r="E2" s="22" t="n">
        <v>1</v>
      </c>
      <c r="F2" s="23" t="n">
        <f aca="false">IF(E2&lt;=4,0.24*E2^(-1),IF(E2&lt;=10,0.14*E2^(-0.64),IF(E2&lt;=20,0.04*E2^(-0.1),IF(E2&lt;=150,0.013*E2^(0.29),0.055))))</f>
        <v>0.24</v>
      </c>
      <c r="H2" s="24" t="s">
        <v>17</v>
      </c>
      <c r="I2" s="25" t="s">
        <v>18</v>
      </c>
      <c r="J2" s="22" t="n">
        <v>2650</v>
      </c>
      <c r="K2" s="25" t="s">
        <v>19</v>
      </c>
    </row>
    <row r="3" customFormat="false" ht="15" hidden="false" customHeight="true" outlineLevel="0" collapsed="false">
      <c r="A3" s="20" t="n">
        <v>0.00015</v>
      </c>
      <c r="B3" s="21" t="n">
        <f aca="false">(A3^3*($J$2-$J$3)*$J$4/($J$3*$J$5^2))^(1/3)</f>
        <v>3.15964519111685</v>
      </c>
      <c r="C3" s="21" t="n">
        <f aca="false">0.13*(B3^(-0.392))*EXP(-0.015*(B3^2))+0.045*(1-EXP(-0.068*B3))</f>
        <v>0.0799938116487358</v>
      </c>
      <c r="D3" s="21" t="n">
        <f aca="false">(B3^3*C3)^0.5</f>
        <v>1.5884943361038</v>
      </c>
      <c r="E3" s="22" t="n">
        <v>2</v>
      </c>
      <c r="F3" s="23" t="n">
        <f aca="false">IF(E3&lt;=4,0.24*E3^(-1),IF(E3&lt;=10,0.14*E3^(-0.64),IF(E3&lt;=20,0.04*E3^(-0.1),IF(E3&lt;=150,0.013*E3^(0.29),0.055))))</f>
        <v>0.12</v>
      </c>
      <c r="H3" s="24" t="s">
        <v>20</v>
      </c>
      <c r="I3" s="25" t="s">
        <v>21</v>
      </c>
      <c r="J3" s="22" t="n">
        <v>1000</v>
      </c>
      <c r="K3" s="25" t="s">
        <v>19</v>
      </c>
    </row>
    <row r="4" customFormat="false" ht="15" hidden="false" customHeight="true" outlineLevel="0" collapsed="false">
      <c r="A4" s="20" t="n">
        <v>0.0002</v>
      </c>
      <c r="B4" s="21" t="n">
        <f aca="false">(A4^3*($J$2-$J$3)*$J$4/($J$3*$J$5^2))^(1/3)</f>
        <v>4.21286025482246</v>
      </c>
      <c r="C4" s="21" t="n">
        <f aca="false">0.13*(B4^(-0.392))*EXP(-0.015*(B4^2))+0.045*(1-EXP(-0.068*B4))</f>
        <v>0.0678970745413059</v>
      </c>
      <c r="D4" s="21" t="n">
        <f aca="false">(B4^3*C4)^0.5</f>
        <v>2.25315521936742</v>
      </c>
      <c r="E4" s="22" t="n">
        <v>3</v>
      </c>
      <c r="F4" s="23" t="n">
        <f aca="false">IF(E4&lt;=4,0.24*E4^(-1),IF(E4&lt;=10,0.14*E4^(-0.64),IF(E4&lt;=20,0.04*E4^(-0.1),IF(E4&lt;=150,0.013*E4^(0.29),0.055))))</f>
        <v>0.08</v>
      </c>
      <c r="H4" s="24" t="s">
        <v>22</v>
      </c>
      <c r="I4" s="22" t="s">
        <v>23</v>
      </c>
      <c r="J4" s="22" t="n">
        <v>9.81</v>
      </c>
      <c r="K4" s="25" t="s">
        <v>24</v>
      </c>
      <c r="O4" s="26"/>
    </row>
    <row r="5" customFormat="false" ht="15" hidden="false" customHeight="true" outlineLevel="0" collapsed="false">
      <c r="A5" s="20" t="n">
        <v>0.00025</v>
      </c>
      <c r="B5" s="21" t="n">
        <f aca="false">(A5^3*($J$2-$J$3)*$J$4/($J$3*$J$5^2))^(1/3)</f>
        <v>5.26607531852808</v>
      </c>
      <c r="C5" s="21" t="n">
        <f aca="false">0.13*(B5^(-0.392))*EXP(-0.015*(B5^2))+0.045*(1-EXP(-0.068*B5))</f>
        <v>0.058260907871272</v>
      </c>
      <c r="D5" s="21" t="n">
        <f aca="false">(B5^3*C5)^0.5</f>
        <v>2.91688443812951</v>
      </c>
      <c r="E5" s="22" t="n">
        <v>4</v>
      </c>
      <c r="F5" s="23" t="n">
        <f aca="false">IF(E5&lt;=4,0.24*E5^(-1),IF(E5&lt;=10,0.14*E5^(-0.64),IF(E5&lt;=20,0.04*E5^(-0.1),IF(E5&lt;=150,0.013*E5^(0.29),0.055))))</f>
        <v>0.06</v>
      </c>
      <c r="H5" s="24" t="s">
        <v>25</v>
      </c>
      <c r="I5" s="25" t="s">
        <v>26</v>
      </c>
      <c r="J5" s="27" t="n">
        <v>1.316E-006</v>
      </c>
      <c r="K5" s="25" t="s">
        <v>27</v>
      </c>
      <c r="O5" s="26"/>
    </row>
    <row r="6" customFormat="false" ht="15" hidden="false" customHeight="true" outlineLevel="0" collapsed="false">
      <c r="A6" s="20" t="n">
        <v>0.0003</v>
      </c>
      <c r="B6" s="21" t="n">
        <f aca="false">(A6^3*($J$2-$J$3)*$J$4/($J$3*$J$5^2))^(1/3)</f>
        <v>6.31929038223369</v>
      </c>
      <c r="C6" s="21" t="n">
        <f aca="false">0.13*(B6^(-0.392))*EXP(-0.015*(B6^2))+0.045*(1-EXP(-0.068*B6))</f>
        <v>0.0503874142718225</v>
      </c>
      <c r="D6" s="21" t="n">
        <f aca="false">(B6^3*C6)^0.5</f>
        <v>3.56585356679952</v>
      </c>
      <c r="E6" s="22" t="n">
        <v>5</v>
      </c>
      <c r="F6" s="23" t="n">
        <f aca="false">IF(E6&lt;=4,0.24*E6^(-1),IF(E6&lt;=10,0.14*E6^(-0.64),IF(E6&lt;=20,0.04*E6^(-0.1),IF(E6&lt;=150,0.013*E6^(0.29),0.055))))</f>
        <v>0.0499789620883459</v>
      </c>
      <c r="O6" s="28"/>
    </row>
    <row r="7" customFormat="false" ht="15" hidden="false" customHeight="true" outlineLevel="0" collapsed="false">
      <c r="A7" s="20" t="n">
        <v>0.00035</v>
      </c>
      <c r="B7" s="21" t="n">
        <f aca="false">(A7^3*($J$2-$J$3)*$J$4/($J$3*$J$5^2))^(1/3)</f>
        <v>7.37250544593931</v>
      </c>
      <c r="C7" s="21" t="n">
        <f aca="false">0.13*(B7^(-0.392))*EXP(-0.015*(B7^2))+0.045*(1-EXP(-0.068*B7))</f>
        <v>0.0440302326267333</v>
      </c>
      <c r="D7" s="21" t="n">
        <f aca="false">(B7^3*C7)^0.5</f>
        <v>4.2004724735092</v>
      </c>
      <c r="E7" s="22" t="n">
        <v>6</v>
      </c>
      <c r="F7" s="23" t="n">
        <f aca="false">IF(E7&lt;=4,0.24*E7^(-1),IF(E7&lt;=10,0.14*E7^(-0.64),IF(E7&lt;=20,0.04*E7^(-0.1),IF(E7&lt;=150,0.013*E7^(0.29),0.055))))</f>
        <v>0.0444745165038489</v>
      </c>
      <c r="H7" s="29" t="s">
        <v>28</v>
      </c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customFormat="false" ht="15" hidden="false" customHeight="true" outlineLevel="0" collapsed="false">
      <c r="A8" s="20" t="n">
        <v>0.0004</v>
      </c>
      <c r="B8" s="21" t="n">
        <f aca="false">(A8^3*($J$2-$J$3)*$J$4/($J$3*$J$5^2))^(1/3)</f>
        <v>8.42572050964493</v>
      </c>
      <c r="C8" s="21" t="n">
        <f aca="false">0.13*(B8^(-0.392))*EXP(-0.015*(B8^2))+0.045*(1-EXP(-0.068*B8))</f>
        <v>0.039063277221977</v>
      </c>
      <c r="D8" s="21" t="n">
        <f aca="false">(B8^3*C8)^0.5</f>
        <v>4.83386938631057</v>
      </c>
      <c r="E8" s="22" t="n">
        <v>7</v>
      </c>
      <c r="F8" s="23" t="n">
        <f aca="false">IF(E8&lt;=4,0.24*E8^(-1),IF(E8&lt;=10,0.14*E8^(-0.64),IF(E8&lt;=20,0.04*E8^(-0.1),IF(E8&lt;=150,0.013*E8^(0.29),0.055))))</f>
        <v>0.0402963110367787</v>
      </c>
      <c r="H8" s="29" t="s">
        <v>29</v>
      </c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customFormat="false" ht="15" hidden="false" customHeight="true" outlineLevel="0" collapsed="false">
      <c r="A9" s="20" t="n">
        <v>0.00045</v>
      </c>
      <c r="B9" s="21" t="n">
        <f aca="false">(A9^3*($J$2-$J$3)*$J$4/($J$3*$J$5^2))^(1/3)</f>
        <v>9.47893557335054</v>
      </c>
      <c r="C9" s="21" t="n">
        <f aca="false">0.13*(B9^(-0.392))*EXP(-0.015*(B9^2))+0.045*(1-EXP(-0.068*B9))</f>
        <v>0.0353672070697617</v>
      </c>
      <c r="D9" s="21" t="n">
        <f aca="false">(B9^3*C9)^0.5</f>
        <v>5.48832397451721</v>
      </c>
      <c r="E9" s="22" t="n">
        <v>8</v>
      </c>
      <c r="F9" s="23" t="n">
        <f aca="false">IF(E9&lt;=4,0.24*E9^(-1),IF(E9&lt;=10,0.14*E9^(-0.64),IF(E9&lt;=20,0.04*E9^(-0.1),IF(E9&lt;=150,0.013*E9^(0.29),0.055))))</f>
        <v>0.0369956314196483</v>
      </c>
    </row>
    <row r="10" customFormat="false" ht="15" hidden="false" customHeight="true" outlineLevel="0" collapsed="false">
      <c r="A10" s="20" t="n">
        <v>0.0005</v>
      </c>
      <c r="B10" s="21" t="n">
        <f aca="false">(A10^3*($J$2-$J$3)*$J$4/($J$3*$J$5^2))^(1/3)</f>
        <v>10.5321506370562</v>
      </c>
      <c r="C10" s="21" t="n">
        <f aca="false">0.13*(B10^(-0.392))*EXP(-0.015*(B10^2))+0.045*(1-EXP(-0.068*B10))</f>
        <v>0.0327960180300684</v>
      </c>
      <c r="D10" s="21" t="n">
        <f aca="false">(B10^3*C10)^0.5</f>
        <v>6.18993589393337</v>
      </c>
      <c r="E10" s="22" t="n">
        <v>9</v>
      </c>
      <c r="F10" s="23" t="n">
        <f aca="false">IF(E10&lt;=4,0.24*E10^(-1),IF(E10&lt;=10,0.14*E10^(-0.64),IF(E10&lt;=20,0.04*E10^(-0.1),IF(E10&lt;=150,0.013*E10^(0.29),0.055))))</f>
        <v>0.0343093768071834</v>
      </c>
    </row>
    <row r="11" customFormat="false" ht="15" hidden="false" customHeight="true" outlineLevel="0" collapsed="false">
      <c r="A11" s="20" t="n">
        <v>0.00055</v>
      </c>
      <c r="B11" s="21" t="n">
        <f aca="false">(A11^3*($J$2-$J$3)*$J$4/($J$3*$J$5^2))^(1/3)</f>
        <v>11.5853657007618</v>
      </c>
      <c r="C11" s="21" t="n">
        <f aca="false">0.13*(B11^(-0.392))*EXP(-0.015*(B11^2))+0.045*(1-EXP(-0.068*B11))</f>
        <v>0.0311775033517052</v>
      </c>
      <c r="D11" s="21" t="n">
        <f aca="false">(B11^3*C11)^0.5</f>
        <v>6.96282192289962</v>
      </c>
      <c r="E11" s="22" t="n">
        <v>10</v>
      </c>
      <c r="F11" s="23" t="n">
        <f aca="false">IF(E11&lt;=4,0.24*E11^(-1),IF(E11&lt;=10,0.14*E11^(-0.64),IF(E11&lt;=20,0.04*E11^(-0.1),IF(E11&lt;=150,0.013*E11^(0.29),0.055))))</f>
        <v>0.0320721471387488</v>
      </c>
    </row>
    <row r="12" customFormat="false" ht="15" hidden="false" customHeight="true" outlineLevel="0" collapsed="false">
      <c r="A12" s="20" t="n">
        <v>0.0006</v>
      </c>
      <c r="B12" s="21" t="n">
        <f aca="false">(A12^3*($J$2-$J$3)*$J$4/($J$3*$J$5^2))^(1/3)</f>
        <v>12.6385807644674</v>
      </c>
      <c r="C12" s="21" t="n">
        <f aca="false">0.13*(B12^(-0.392))*EXP(-0.015*(B12^2))+0.045*(1-EXP(-0.068*B12))</f>
        <v>0.0303270416160943</v>
      </c>
      <c r="D12" s="21" t="n">
        <f aca="false">(B12^3*C12)^0.5</f>
        <v>7.82460613313023</v>
      </c>
      <c r="E12" s="22" t="n">
        <v>11</v>
      </c>
      <c r="F12" s="23" t="n">
        <f aca="false">IF(E12&lt;=4,0.24*E12^(-1),IF(E12&lt;=10,0.14*E12^(-0.64),IF(E12&lt;=20,0.04*E12^(-0.1),IF(E12&lt;=150,0.013*E12^(0.29),0.055))))</f>
        <v>0.0314717376878709</v>
      </c>
    </row>
    <row r="13" customFormat="false" ht="15" hidden="false" customHeight="true" outlineLevel="0" collapsed="false">
      <c r="A13" s="20" t="n">
        <v>0.00065</v>
      </c>
      <c r="B13" s="21" t="n">
        <f aca="false">(A13^3*($J$2-$J$3)*$J$4/($J$3*$J$5^2))^(1/3)</f>
        <v>13.691795828173</v>
      </c>
      <c r="C13" s="21" t="n">
        <f aca="false">0.13*(B13^(-0.392))*EXP(-0.015*(B13^2))+0.045*(1-EXP(-0.068*B13))</f>
        <v>0.0300640005662959</v>
      </c>
      <c r="D13" s="21" t="n">
        <f aca="false">(B13^3*C13)^0.5</f>
        <v>8.78443850549862</v>
      </c>
      <c r="E13" s="22" t="n">
        <v>12</v>
      </c>
      <c r="F13" s="23" t="n">
        <f aca="false">IF(E13&lt;=4,0.24*E13^(-1),IF(E13&lt;=10,0.14*E13^(-0.64),IF(E13&lt;=20,0.04*E13^(-0.1),IF(E13&lt;=150,0.013*E13^(0.29),0.055))))</f>
        <v>0.0311990856761721</v>
      </c>
    </row>
    <row r="14" customFormat="false" ht="15" hidden="false" customHeight="true" outlineLevel="0" collapsed="false">
      <c r="A14" s="20" t="n">
        <v>0.0007</v>
      </c>
      <c r="B14" s="21" t="n">
        <f aca="false">(A14^3*($J$2-$J$3)*$J$4/($J$3*$J$5^2))^(1/3)</f>
        <v>14.7450108918786</v>
      </c>
      <c r="C14" s="21" t="n">
        <f aca="false">0.13*(B14^(-0.392))*EXP(-0.015*(B14^2))+0.045*(1-EXP(-0.068*B14))</f>
        <v>0.0302252160801501</v>
      </c>
      <c r="D14" s="21" t="n">
        <f aca="false">(B14^3*C14)^0.5</f>
        <v>9.84356364650676</v>
      </c>
      <c r="E14" s="22" t="n">
        <v>13</v>
      </c>
      <c r="F14" s="23" t="n">
        <f aca="false">IF(E14&lt;=4,0.24*E14^(-1),IF(E14&lt;=10,0.14*E14^(-0.64),IF(E14&lt;=20,0.04*E14^(-0.1),IF(E14&lt;=150,0.013*E14^(0.29),0.055))))</f>
        <v>0.0309503565224441</v>
      </c>
    </row>
    <row r="15" customFormat="false" ht="15" hidden="false" customHeight="true" outlineLevel="0" collapsed="false">
      <c r="A15" s="20" t="n">
        <v>0.00075</v>
      </c>
      <c r="B15" s="21" t="n">
        <f aca="false">(A15^3*($J$2-$J$3)*$J$4/($J$3*$J$5^2))^(1/3)</f>
        <v>15.7982259555842</v>
      </c>
      <c r="C15" s="21" t="n">
        <f aca="false">0.13*(B15^(-0.392))*EXP(-0.015*(B15^2))+0.045*(1-EXP(-0.068*B15))</f>
        <v>0.0306733146415258</v>
      </c>
      <c r="D15" s="21" t="n">
        <f aca="false">(B15^3*C15)^0.5</f>
        <v>10.9974712774419</v>
      </c>
      <c r="E15" s="22" t="n">
        <v>14</v>
      </c>
      <c r="F15" s="23" t="n">
        <f aca="false">IF(E15&lt;=4,0.24*E15^(-1),IF(E15&lt;=10,0.14*E15^(-0.64),IF(E15&lt;=20,0.04*E15^(-0.1),IF(E15&lt;=150,0.013*E15^(0.29),0.055))))</f>
        <v>0.0307218375064094</v>
      </c>
    </row>
    <row r="16" customFormat="false" ht="15" hidden="false" customHeight="true" outlineLevel="0" collapsed="false">
      <c r="A16" s="20" t="n">
        <v>0.0008</v>
      </c>
      <c r="B16" s="21" t="n">
        <f aca="false">(A16^3*($J$2-$J$3)*$J$4/($J$3*$J$5^2))^(1/3)</f>
        <v>16.8514410192899</v>
      </c>
      <c r="C16" s="21" t="n">
        <f aca="false">0.13*(B16^(-0.392))*EXP(-0.015*(B16^2))+0.045*(1-EXP(-0.068*B16))</f>
        <v>0.0312997869100578</v>
      </c>
      <c r="D16" s="21" t="n">
        <f aca="false">(B16^3*C16)^0.5</f>
        <v>12.2384454786368</v>
      </c>
      <c r="E16" s="22" t="n">
        <v>15</v>
      </c>
      <c r="F16" s="23" t="n">
        <f aca="false">IF(E16&lt;=4,0.24*E16^(-1),IF(E16&lt;=10,0.14*E16^(-0.64),IF(E16&lt;=20,0.04*E16^(-0.1),IF(E16&lt;=150,0.013*E16^(0.29),0.055))))</f>
        <v>0.030510608231307</v>
      </c>
    </row>
    <row r="17" customFormat="false" ht="15" hidden="false" customHeight="true" outlineLevel="0" collapsed="false">
      <c r="A17" s="20" t="n">
        <v>0.00085</v>
      </c>
      <c r="B17" s="21" t="n">
        <f aca="false">(A17^3*($J$2-$J$3)*$J$4/($J$3*$J$5^2))^(1/3)</f>
        <v>17.9046560829955</v>
      </c>
      <c r="C17" s="21" t="n">
        <f aca="false">0.13*(B17^(-0.392))*EXP(-0.015*(B17^2))+0.045*(1-EXP(-0.068*B17))</f>
        <v>0.0320239114513871</v>
      </c>
      <c r="D17" s="21" t="n">
        <f aca="false">(B17^3*C17)^0.5</f>
        <v>13.5577044780626</v>
      </c>
      <c r="E17" s="22" t="n">
        <v>16</v>
      </c>
      <c r="F17" s="23" t="n">
        <f aca="false">IF(E17&lt;=4,0.24*E17^(-1),IF(E17&lt;=10,0.14*E17^(-0.64),IF(E17&lt;=20,0.04*E17^(-0.1),IF(E17&lt;=150,0.013*E17^(0.29),0.055))))</f>
        <v>0.030314331330208</v>
      </c>
    </row>
    <row r="18" customFormat="false" ht="15" hidden="false" customHeight="true" outlineLevel="0" collapsed="false">
      <c r="A18" s="20" t="n">
        <v>0.0009</v>
      </c>
      <c r="B18" s="21" t="n">
        <f aca="false">(A18^3*($J$2-$J$3)*$J$4/($J$3*$J$5^2))^(1/3)</f>
        <v>18.9578711467011</v>
      </c>
      <c r="C18" s="21" t="n">
        <f aca="false">0.13*(B18^(-0.392))*EXP(-0.015*(B18^2))+0.045*(1-EXP(-0.068*B18))</f>
        <v>0.0327890641308739</v>
      </c>
      <c r="D18" s="21" t="n">
        <f aca="false">(B18^3*C18)^0.5</f>
        <v>14.9468219543022</v>
      </c>
      <c r="E18" s="22" t="n">
        <v>17</v>
      </c>
      <c r="F18" s="23" t="n">
        <f aca="false">IF(E18&lt;=4,0.24*E18^(-1),IF(E18&lt;=10,0.14*E18^(-0.64),IF(E18&lt;=20,0.04*E18^(-0.1),IF(E18&lt;=150,0.013*E18^(0.29),0.055))))</f>
        <v>0.0301311077970016</v>
      </c>
    </row>
    <row r="19" customFormat="false" ht="15" hidden="false" customHeight="true" outlineLevel="0" collapsed="false">
      <c r="A19" s="20" t="n">
        <v>0.00095</v>
      </c>
      <c r="B19" s="21" t="n">
        <f aca="false">(A19^3*($J$2-$J$3)*$J$4/($J$3*$J$5^2))^(1/3)</f>
        <v>20.0110862104067</v>
      </c>
      <c r="C19" s="21" t="n">
        <f aca="false">0.13*(B19^(-0.392))*EXP(-0.015*(B19^2))+0.045*(1-EXP(-0.068*B19))</f>
        <v>0.0335578669489963</v>
      </c>
      <c r="D19" s="21" t="n">
        <f aca="false">(B19^3*C19)^0.5</f>
        <v>16.3984639094684</v>
      </c>
      <c r="E19" s="22" t="n">
        <v>18</v>
      </c>
      <c r="F19" s="23" t="n">
        <f aca="false">IF(E19&lt;=4,0.24*E19^(-1),IF(E19&lt;=10,0.14*E19^(-0.64),IF(E19&lt;=20,0.04*E19^(-0.1),IF(E19&lt;=150,0.013*E19^(0.29),0.055))))</f>
        <v>0.0299593744320031</v>
      </c>
    </row>
    <row r="20" customFormat="false" ht="15" hidden="false" customHeight="true" outlineLevel="0" collapsed="false">
      <c r="A20" s="20" t="n">
        <v>0.001</v>
      </c>
      <c r="B20" s="21" t="n">
        <f aca="false">(A20^3*($J$2-$J$3)*$J$4/($J$3*$J$5^2))^(1/3)</f>
        <v>21.0643012741123</v>
      </c>
      <c r="C20" s="21" t="n">
        <f aca="false">0.13*(B20^(-0.392))*EXP(-0.015*(B20^2))+0.045*(1-EXP(-0.068*B20))</f>
        <v>0.0343072737449413</v>
      </c>
      <c r="D20" s="21" t="n">
        <f aca="false">(B20^3*C20)^0.5</f>
        <v>17.9066230096774</v>
      </c>
      <c r="E20" s="22" t="n">
        <v>19</v>
      </c>
      <c r="F20" s="23" t="n">
        <f aca="false">IF(E20&lt;=4,0.24*E20^(-1),IF(E20&lt;=10,0.14*E20^(-0.64),IF(E20&lt;=20,0.04*E20^(-0.1),IF(E20&lt;=150,0.013*E20^(0.29),0.055))))</f>
        <v>0.0297978295270875</v>
      </c>
    </row>
    <row r="21" customFormat="false" ht="15" hidden="false" customHeight="true" outlineLevel="0" collapsed="false">
      <c r="A21" s="20" t="n">
        <v>0.00105</v>
      </c>
      <c r="B21" s="21" t="n">
        <f aca="false">(A21^3*($J$2-$J$3)*$J$4/($J$3*$J$5^2))^(1/3)</f>
        <v>22.1175163378179</v>
      </c>
      <c r="C21" s="21" t="n">
        <f aca="false">0.13*(B21^(-0.392))*EXP(-0.015*(B21^2))+0.045*(1-EXP(-0.068*B21))</f>
        <v>0.0350242591258879</v>
      </c>
      <c r="D21" s="21" t="n">
        <f aca="false">(B21^3*C21)^0.5</f>
        <v>19.4665510850033</v>
      </c>
      <c r="E21" s="22" t="n">
        <v>20</v>
      </c>
      <c r="F21" s="23" t="n">
        <f aca="false">IF(E21&lt;=4,0.24*E21^(-1),IF(E21&lt;=10,0.14*E21^(-0.64),IF(E21&lt;=20,0.04*E21^(-0.1),IF(E21&lt;=150,0.013*E21^(0.29),0.055))))</f>
        <v>0.0296453779642779</v>
      </c>
    </row>
    <row r="22" customFormat="false" ht="15" hidden="false" customHeight="true" outlineLevel="0" collapsed="false">
      <c r="A22" s="20" t="n">
        <v>0.0011</v>
      </c>
      <c r="B22" s="21" t="n">
        <f aca="false">(A22^3*($J$2-$J$3)*$J$4/($J$3*$J$5^2))^(1/3)</f>
        <v>23.1707314015235</v>
      </c>
      <c r="C22" s="21" t="n">
        <f aca="false">0.13*(B22^(-0.392))*EXP(-0.015*(B22^2))+0.045*(1-EXP(-0.068*B22))</f>
        <v>0.0357023999877192</v>
      </c>
      <c r="D22" s="21" t="n">
        <f aca="false">(B22^3*C22)^0.5</f>
        <v>21.0745504791895</v>
      </c>
      <c r="E22" s="22" t="n">
        <v>21</v>
      </c>
      <c r="F22" s="23" t="n">
        <f aca="false">IF(E22&lt;=4,0.24*E22^(-1),IF(E22&lt;=10,0.14*E22^(-0.64),IF(E22&lt;=20,0.04*E22^(-0.1),IF(E22&lt;=150,0.013*E22^(0.29),0.055))))</f>
        <v>0.0314330807181656</v>
      </c>
    </row>
    <row r="23" customFormat="false" ht="15" hidden="false" customHeight="true" outlineLevel="0" collapsed="false">
      <c r="A23" s="20" t="n">
        <v>0.00115</v>
      </c>
      <c r="B23" s="21" t="n">
        <f aca="false">(A23^3*($J$2-$J$3)*$J$4/($J$3*$J$5^2))^(1/3)</f>
        <v>24.2239464652292</v>
      </c>
      <c r="C23" s="21" t="n">
        <f aca="false">0.13*(B23^(-0.392))*EXP(-0.015*(B23^2))+0.045*(1-EXP(-0.068*B23))</f>
        <v>0.0363393738045389</v>
      </c>
      <c r="D23" s="21" t="n">
        <f aca="false">(B23^3*C23)^0.5</f>
        <v>22.7277302764817</v>
      </c>
      <c r="E23" s="22" t="n">
        <v>22</v>
      </c>
      <c r="F23" s="23" t="n">
        <f aca="false">IF(E23&lt;=4,0.24*E23^(-1),IF(E23&lt;=10,0.14*E23^(-0.64),IF(E23&lt;=20,0.04*E23^(-0.1),IF(E23&lt;=150,0.013*E23^(0.29),0.055))))</f>
        <v>0.0318600116114921</v>
      </c>
    </row>
    <row r="24" customFormat="false" ht="15" hidden="false" customHeight="true" outlineLevel="0" collapsed="false">
      <c r="A24" s="20" t="n">
        <v>0.0012</v>
      </c>
      <c r="B24" s="21" t="n">
        <f aca="false">(A24^3*($J$2-$J$3)*$J$4/($J$3*$J$5^2))^(1/3)</f>
        <v>25.2771615289348</v>
      </c>
      <c r="C24" s="21" t="n">
        <f aca="false">0.13*(B24^(-0.392))*EXP(-0.015*(B24^2))+0.045*(1-EXP(-0.068*B24))</f>
        <v>0.0369352492432923</v>
      </c>
      <c r="D24" s="21" t="n">
        <f aca="false">(B24^3*C24)^0.5</f>
        <v>24.4237852445983</v>
      </c>
      <c r="E24" s="22" t="n">
        <v>23</v>
      </c>
      <c r="F24" s="23" t="n">
        <f aca="false">IF(E24&lt;=4,0.24*E24^(-1),IF(E24&lt;=10,0.14*E24^(-0.64),IF(E24&lt;=20,0.04*E24^(-0.1),IF(E24&lt;=150,0.013*E24^(0.29),0.055))))</f>
        <v>0.0322733780073242</v>
      </c>
    </row>
    <row r="25" customFormat="false" ht="15" hidden="false" customHeight="true" outlineLevel="0" collapsed="false">
      <c r="A25" s="20" t="n">
        <v>0.00125</v>
      </c>
      <c r="B25" s="21" t="n">
        <f aca="false">(A25^3*($J$2-$J$3)*$J$4/($J$3*$J$5^2))^(1/3)</f>
        <v>26.3303765926404</v>
      </c>
      <c r="C25" s="21" t="n">
        <f aca="false">0.13*(B25^(-0.392))*EXP(-0.015*(B25^2))+0.045*(1-EXP(-0.068*B25))</f>
        <v>0.0374913881412963</v>
      </c>
      <c r="D25" s="21" t="n">
        <f aca="false">(B25^3*C25)^0.5</f>
        <v>26.1608208284687</v>
      </c>
      <c r="E25" s="22" t="n">
        <v>24</v>
      </c>
      <c r="F25" s="23" t="n">
        <f aca="false">IF(E25&lt;=4,0.24*E25^(-1),IF(E25&lt;=10,0.14*E25^(-0.64),IF(E25&lt;=20,0.04*E25^(-0.1),IF(E25&lt;=150,0.013*E25^(0.29),0.055))))</f>
        <v>0.0326741736189268</v>
      </c>
    </row>
    <row r="26" customFormat="false" ht="15" hidden="false" customHeight="true" outlineLevel="0" collapsed="false">
      <c r="A26" s="20" t="n">
        <v>0.0013</v>
      </c>
      <c r="B26" s="21" t="n">
        <f aca="false">(A26^3*($J$2-$J$3)*$J$4/($J$3*$J$5^2))^(1/3)</f>
        <v>27.383591656346</v>
      </c>
      <c r="C26" s="21" t="n">
        <f aca="false">0.13*(B26^(-0.392))*EXP(-0.015*(B26^2))+0.045*(1-EXP(-0.068*B26))</f>
        <v>0.0380097799927317</v>
      </c>
      <c r="D26" s="21" t="n">
        <f aca="false">(B26^3*C26)^0.5</f>
        <v>27.9372267611465</v>
      </c>
      <c r="E26" s="22" t="n">
        <v>25</v>
      </c>
      <c r="F26" s="23" t="n">
        <f aca="false">IF(E26&lt;=4,0.24*E26^(-1),IF(E26&lt;=10,0.14*E26^(-0.64),IF(E26&lt;=20,0.04*E26^(-0.1),IF(E26&lt;=150,0.013*E26^(0.29),0.055))))</f>
        <v>0.0330632815093605</v>
      </c>
    </row>
    <row r="27" customFormat="false" ht="15" hidden="false" customHeight="true" outlineLevel="0" collapsed="false">
      <c r="A27" s="20" t="n">
        <v>0.00135</v>
      </c>
      <c r="B27" s="21" t="n">
        <f aca="false">(A27^3*($J$2-$J$3)*$J$4/($J$3*$J$5^2))^(1/3)</f>
        <v>28.4368067200516</v>
      </c>
      <c r="C27" s="21" t="n">
        <f aca="false">0.13*(B27^(-0.392))*EXP(-0.015*(B27^2))+0.045*(1-EXP(-0.068*B27))</f>
        <v>0.0384926610346856</v>
      </c>
      <c r="D27" s="21" t="n">
        <f aca="false">(B27^3*C27)^0.5</f>
        <v>29.7515918118498</v>
      </c>
      <c r="E27" s="22" t="n">
        <v>26</v>
      </c>
      <c r="F27" s="23" t="n">
        <f aca="false">IF(E27&lt;=4,0.24*E27^(-1),IF(E27&lt;=10,0.14*E27^(-0.64),IF(E27&lt;=20,0.04*E27^(-0.1),IF(E27&lt;=150,0.013*E27^(0.29),0.055))))</f>
        <v>0.0334414902958786</v>
      </c>
    </row>
    <row r="28" customFormat="false" ht="15" hidden="false" customHeight="true" outlineLevel="0" collapsed="false">
      <c r="A28" s="20" t="n">
        <v>0.0014</v>
      </c>
      <c r="B28" s="21" t="n">
        <f aca="false">(A28^3*($J$2-$J$3)*$J$4/($J$3*$J$5^2))^(1/3)</f>
        <v>29.4900217837572</v>
      </c>
      <c r="C28" s="21" t="n">
        <f aca="false">0.13*(B28^(-0.392))*EXP(-0.015*(B28^2))+0.045*(1-EXP(-0.068*B28))</f>
        <v>0.0389423090229732</v>
      </c>
      <c r="D28" s="21" t="n">
        <f aca="false">(B28^3*C28)^0.5</f>
        <v>31.6026491309911</v>
      </c>
      <c r="E28" s="22" t="n">
        <v>27</v>
      </c>
      <c r="F28" s="23" t="n">
        <f aca="false">IF(E28&lt;=4,0.24*E28^(-1),IF(E28&lt;=10,0.14*E28^(-0.64),IF(E28&lt;=20,0.04*E28^(-0.1),IF(E28&lt;=150,0.013*E28^(0.29),0.055))))</f>
        <v>0.0338095074555519</v>
      </c>
    </row>
    <row r="29" customFormat="false" ht="15" hidden="false" customHeight="true" outlineLevel="0" collapsed="false">
      <c r="A29" s="20" t="n">
        <v>0.00145</v>
      </c>
      <c r="B29" s="21" t="n">
        <f aca="false">(A29^3*($J$2-$J$3)*$J$4/($J$3*$J$5^2))^(1/3)</f>
        <v>30.5432368474629</v>
      </c>
      <c r="C29" s="21" t="n">
        <f aca="false">0.13*(B29^(-0.392))*EXP(-0.015*(B29^2))+0.045*(1-EXP(-0.068*B29))</f>
        <v>0.0393609402948653</v>
      </c>
      <c r="D29" s="21" t="n">
        <f aca="false">(B29^3*C29)^0.5</f>
        <v>33.4892423454247</v>
      </c>
      <c r="E29" s="22" t="n">
        <v>28</v>
      </c>
      <c r="F29" s="23" t="n">
        <f aca="false">IF(E29&lt;=4,0.24*E29^(-1),IF(E29&lt;=10,0.14*E29^(-0.64),IF(E29&lt;=20,0.04*E29^(-0.1),IF(E29&lt;=150,0.013*E29^(0.29),0.055))))</f>
        <v>0.0341679703378557</v>
      </c>
    </row>
    <row r="30" customFormat="false" ht="15" hidden="false" customHeight="true" outlineLevel="0" collapsed="false">
      <c r="A30" s="20" t="n">
        <v>0.0015</v>
      </c>
      <c r="B30" s="21" t="n">
        <f aca="false">(A30^3*($J$2-$J$3)*$J$4/($J$3*$J$5^2))^(1/3)</f>
        <v>31.5964519111685</v>
      </c>
      <c r="C30" s="21" t="n">
        <f aca="false">0.13*(B30^(-0.392))*EXP(-0.015*(B30^2))+0.045*(1-EXP(-0.068*B30))</f>
        <v>0.0397506631545588</v>
      </c>
      <c r="D30" s="21" t="n">
        <f aca="false">(B30^3*C30)^0.5</f>
        <v>35.410304737206</v>
      </c>
      <c r="E30" s="22" t="n">
        <v>29</v>
      </c>
      <c r="F30" s="23" t="n">
        <f aca="false">IF(E30&lt;=4,0.24*E30^(-1),IF(E30&lt;=10,0.14*E30^(-0.64),IF(E30&lt;=20,0.04*E30^(-0.1),IF(E30&lt;=150,0.013*E30^(0.29),0.055))))</f>
        <v>0.0345174553464458</v>
      </c>
    </row>
    <row r="31" customFormat="false" ht="15" hidden="false" customHeight="true" outlineLevel="0" collapsed="false">
      <c r="A31" s="20" t="n">
        <v>0.00155</v>
      </c>
      <c r="B31" s="21" t="n">
        <f aca="false">(A31^3*($J$2-$J$3)*$J$4/($J$3*$J$5^2))^(1/3)</f>
        <v>32.6496669748741</v>
      </c>
      <c r="C31" s="21" t="n">
        <f aca="false">0.13*(B31^(-0.392))*EXP(-0.015*(B31^2))+0.045*(1-EXP(-0.068*B31))</f>
        <v>0.040113460597294</v>
      </c>
      <c r="D31" s="21" t="n">
        <f aca="false">(B31^3*C31)^0.5</f>
        <v>37.3648461955421</v>
      </c>
      <c r="E31" s="22" t="n">
        <v>30</v>
      </c>
      <c r="F31" s="23" t="n">
        <f aca="false">IF(E31&lt;=4,0.24*E31^(-1),IF(E31&lt;=10,0.14*E31^(-0.64),IF(E31&lt;=20,0.04*E31^(-0.1),IF(E31&lt;=150,0.013*E31^(0.29),0.055))))</f>
        <v>0.0348584856465753</v>
      </c>
    </row>
    <row r="32" customFormat="false" ht="15" hidden="false" customHeight="true" outlineLevel="0" collapsed="false">
      <c r="A32" s="20" t="n">
        <v>0.0016</v>
      </c>
      <c r="B32" s="21" t="n">
        <f aca="false">(A32^3*($J$2-$J$3)*$J$4/($J$3*$J$5^2))^(1/3)</f>
        <v>33.7028820385797</v>
      </c>
      <c r="C32" s="21" t="n">
        <f aca="false">0.13*(B32^(-0.392))*EXP(-0.015*(B32^2))+0.045*(1-EXP(-0.068*B32))</f>
        <v>0.0404511874342205</v>
      </c>
      <c r="D32" s="21" t="n">
        <f aca="false">(B32^3*C32)^0.5</f>
        <v>39.3519445749749</v>
      </c>
      <c r="E32" s="22" t="n">
        <v>31</v>
      </c>
      <c r="F32" s="23" t="n">
        <f aca="false">IF(E32&lt;=4,0.24*E32^(-1),IF(E32&lt;=10,0.14*E32^(-0.64),IF(E32&lt;=20,0.04*E32^(-0.1),IF(E32&lt;=150,0.013*E32^(0.29),0.055))))</f>
        <v>0.0351915376757317</v>
      </c>
    </row>
    <row r="33" customFormat="false" ht="15" hidden="false" customHeight="true" outlineLevel="0" collapsed="false">
      <c r="A33" s="20" t="n">
        <v>0.00165</v>
      </c>
      <c r="B33" s="21" t="n">
        <f aca="false">(A33^3*($J$2-$J$3)*$J$4/($J$3*$J$5^2))^(1/3)</f>
        <v>34.7560971022853</v>
      </c>
      <c r="C33" s="21" t="n">
        <f aca="false">0.13*(B33^(-0.392))*EXP(-0.015*(B33^2))+0.045*(1-EXP(-0.068*B33))</f>
        <v>0.0407655739920684</v>
      </c>
      <c r="D33" s="21" t="n">
        <f aca="false">(B33^3*C33)^0.5</f>
        <v>41.3707394747152</v>
      </c>
      <c r="E33" s="22" t="n">
        <v>32</v>
      </c>
      <c r="F33" s="23" t="n">
        <f aca="false">IF(E33&lt;=4,0.24*E33^(-1),IF(E33&lt;=10,0.14*E33^(-0.64),IF(E33&lt;=20,0.04*E33^(-0.1),IF(E33&lt;=150,0.013*E33^(0.29),0.055))))</f>
        <v>0.0355170466756143</v>
      </c>
    </row>
    <row r="34" customFormat="false" ht="15" hidden="false" customHeight="true" outlineLevel="0" collapsed="false">
      <c r="A34" s="20" t="n">
        <v>0.0017</v>
      </c>
      <c r="B34" s="21" t="n">
        <f aca="false">(A34^3*($J$2-$J$3)*$J$4/($J$3*$J$5^2))^(1/3)</f>
        <v>35.8093121659909</v>
      </c>
      <c r="C34" s="21" t="n">
        <f aca="false">0.13*(B34^(-0.392))*EXP(-0.015*(B34^2))+0.045*(1-EXP(-0.068*B34))</f>
        <v>0.0410582325009352</v>
      </c>
      <c r="D34" s="21" t="n">
        <f aca="false">(B34^3*C34)^0.5</f>
        <v>43.4204273394833</v>
      </c>
      <c r="E34" s="22" t="n">
        <v>33</v>
      </c>
      <c r="F34" s="23" t="n">
        <f aca="false">IF(E34&lt;=4,0.24*E34^(-1),IF(E34&lt;=10,0.14*E34^(-0.64),IF(E34&lt;=20,0.04*E34^(-0.1),IF(E34&lt;=150,0.013*E34^(0.29),0.055))))</f>
        <v>0.0358354114182966</v>
      </c>
    </row>
    <row r="35" customFormat="false" ht="15" hidden="false" customHeight="true" outlineLevel="0" collapsed="false">
      <c r="A35" s="20" t="n">
        <v>0.00175</v>
      </c>
      <c r="B35" s="21" t="n">
        <f aca="false">(A35^3*($J$2-$J$3)*$J$4/($J$3*$J$5^2))^(1/3)</f>
        <v>36.8625272296965</v>
      </c>
      <c r="C35" s="21" t="n">
        <f aca="false">0.13*(B35^(-0.392))*EXP(-0.015*(B35^2))+0.045*(1-EXP(-0.068*B35))</f>
        <v>0.0413306643420791</v>
      </c>
      <c r="D35" s="21" t="n">
        <f aca="false">(B35^3*C35)^0.5</f>
        <v>45.5002573045688</v>
      </c>
      <c r="E35" s="22" t="n">
        <v>34</v>
      </c>
      <c r="F35" s="23" t="n">
        <f aca="false">IF(E35&lt;=4,0.24*E35^(-1),IF(E35&lt;=10,0.14*E35^(-0.64),IF(E35&lt;=20,0.04*E35^(-0.1),IF(E35&lt;=150,0.013*E35^(0.29),0.055))))</f>
        <v>0.0361469982646178</v>
      </c>
    </row>
    <row r="36" customFormat="false" ht="15" hidden="false" customHeight="true" outlineLevel="0" collapsed="false">
      <c r="A36" s="20" t="n">
        <v>0.0018</v>
      </c>
      <c r="B36" s="21" t="n">
        <f aca="false">(A36^3*($J$2-$J$3)*$J$4/($J$3*$J$5^2))^(1/3)</f>
        <v>37.9157422934022</v>
      </c>
      <c r="C36" s="21" t="n">
        <f aca="false">0.13*(B36^(-0.392))*EXP(-0.015*(B36^2))+0.045*(1-EXP(-0.068*B36))</f>
        <v>0.041584267346384</v>
      </c>
      <c r="D36" s="21" t="n">
        <f aca="false">(B36^3*C36)^0.5</f>
        <v>47.6095274950897</v>
      </c>
      <c r="E36" s="22" t="n">
        <v>35</v>
      </c>
      <c r="F36" s="23" t="n">
        <f aca="false">IF(E36&lt;=4,0.24*E36^(-1),IF(E36&lt;=10,0.14*E36^(-0.64),IF(E36&lt;=20,0.04*E36^(-0.1),IF(E36&lt;=150,0.013*E36^(0.29),0.055))))</f>
        <v>0.0364521446658663</v>
      </c>
    </row>
    <row r="37" customFormat="false" ht="15" hidden="false" customHeight="true" outlineLevel="0" collapsed="false">
      <c r="A37" s="20" t="n">
        <v>0.00185</v>
      </c>
      <c r="B37" s="21" t="n">
        <f aca="false">(A37^3*($J$2-$J$3)*$J$4/($J$3*$J$5^2))^(1/3)</f>
        <v>38.9689573571078</v>
      </c>
      <c r="C37" s="21" t="n">
        <f aca="false">0.13*(B37^(-0.392))*EXP(-0.015*(B37^2))+0.045*(1-EXP(-0.068*B37))</f>
        <v>0.0418203428127115</v>
      </c>
      <c r="D37" s="21" t="n">
        <f aca="false">(B37^3*C37)^0.5</f>
        <v>49.7475816379183</v>
      </c>
      <c r="E37" s="22" t="n">
        <v>36</v>
      </c>
      <c r="F37" s="23" t="n">
        <f aca="false">IF(E37&lt;=4,0.24*E37^(-1),IF(E37&lt;=10,0.14*E37^(-0.64),IF(E37&lt;=20,0.04*E37^(-0.1),IF(E37&lt;=150,0.013*E37^(0.29),0.055))))</f>
        <v>0.0367511621987214</v>
      </c>
    </row>
    <row r="38" customFormat="false" ht="15" hidden="false" customHeight="true" outlineLevel="0" collapsed="false">
      <c r="A38" s="20" t="n">
        <v>0.0019</v>
      </c>
      <c r="B38" s="21" t="n">
        <f aca="false">(A38^3*($J$2-$J$3)*$J$4/($J$3*$J$5^2))^(1/3)</f>
        <v>40.0221724208134</v>
      </c>
      <c r="C38" s="21" t="n">
        <f aca="false">0.13*(B38^(-0.392))*EXP(-0.015*(B38^2))+0.045*(1-EXP(-0.068*B38))</f>
        <v>0.0420401021287789</v>
      </c>
      <c r="D38" s="21" t="n">
        <f aca="false">(B38^3*C38)^0.5</f>
        <v>51.9138059173266</v>
      </c>
      <c r="E38" s="22" t="n">
        <v>37</v>
      </c>
      <c r="F38" s="23" t="n">
        <f aca="false">IF(E38&lt;=4,0.24*E38^(-1),IF(E38&lt;=10,0.14*E38^(-0.64),IF(E38&lt;=20,0.04*E38^(-0.1),IF(E38&lt;=150,0.013*E38^(0.29),0.055))))</f>
        <v>0.0370443392068057</v>
      </c>
    </row>
    <row r="39" customFormat="false" ht="15" hidden="false" customHeight="true" outlineLevel="0" collapsed="false">
      <c r="A39" s="20" t="n">
        <v>0.00195</v>
      </c>
      <c r="B39" s="21" t="n">
        <f aca="false">(A39^3*($J$2-$J$3)*$J$4/($J$3*$J$5^2))^(1/3)</f>
        <v>41.075387484519</v>
      </c>
      <c r="C39" s="21" t="n">
        <f aca="false">0.13*(B39^(-0.392))*EXP(-0.015*(B39^2))+0.045*(1-EXP(-0.068*B39))</f>
        <v>0.0422446729673096</v>
      </c>
      <c r="D39" s="21" t="n">
        <f aca="false">(B39^3*C39)^0.5</f>
        <v>54.1076260391686</v>
      </c>
      <c r="E39" s="22" t="n">
        <v>38</v>
      </c>
      <c r="F39" s="23" t="n">
        <f aca="false">IF(E39&lt;=4,0.24*E39^(-1),IF(E39&lt;=10,0.14*E39^(-0.64),IF(E39&lt;=20,0.04*E39^(-0.1),IF(E39&lt;=150,0.013*E39^(0.29),0.055))))</f>
        <v>0.0373319431090129</v>
      </c>
    </row>
    <row r="40" customFormat="false" ht="15" hidden="false" customHeight="true" outlineLevel="0" collapsed="false">
      <c r="A40" s="20" t="n">
        <v>0.002</v>
      </c>
      <c r="B40" s="21" t="n">
        <f aca="false">(A40^3*($J$2-$J$3)*$J$4/($J$3*$J$5^2))^(1/3)</f>
        <v>42.1286025482246</v>
      </c>
      <c r="C40" s="21" t="n">
        <f aca="false">0.13*(B40^(-0.392))*EXP(-0.015*(B40^2))+0.045*(1-EXP(-0.068*B40))</f>
        <v>0.0424351050657982</v>
      </c>
      <c r="D40" s="21" t="n">
        <f aca="false">(B40^3*C40)^0.5</f>
        <v>56.3285044834705</v>
      </c>
      <c r="E40" s="22" t="n">
        <v>39</v>
      </c>
      <c r="F40" s="23" t="n">
        <f aca="false">IF(E40&lt;=4,0.24*E40^(-1),IF(E40&lt;=10,0.14*E40^(-0.64),IF(E40&lt;=20,0.04*E40^(-0.1),IF(E40&lt;=150,0.013*E40^(0.29),0.055))))</f>
        <v>0.0376142224242478</v>
      </c>
    </row>
    <row r="41" customFormat="false" ht="15" hidden="false" customHeight="true" outlineLevel="0" collapsed="false">
      <c r="A41" s="20" t="n">
        <v>0.00205</v>
      </c>
      <c r="B41" s="21" t="n">
        <f aca="false">(A41^3*($J$2-$J$3)*$J$4/($J$3*$J$5^2))^(1/3)</f>
        <v>43.1818176119302</v>
      </c>
      <c r="C41" s="21" t="n">
        <f aca="false">0.13*(B41^(-0.392))*EXP(-0.015*(B41^2))+0.045*(1-EXP(-0.068*B41))</f>
        <v>0.0426123756109286</v>
      </c>
      <c r="D41" s="21" t="n">
        <f aca="false">(B41^3*C41)^0.5</f>
        <v>58.5759379318414</v>
      </c>
      <c r="E41" s="22" t="n">
        <v>40</v>
      </c>
      <c r="F41" s="23" t="n">
        <f aca="false">IF(E41&lt;=4,0.24*E41^(-1),IF(E41&lt;=10,0.14*E41^(-0.64),IF(E41&lt;=20,0.04*E41^(-0.1),IF(E41&lt;=150,0.013*E41^(0.29),0.055))))</f>
        <v>0.0378914085537417</v>
      </c>
    </row>
    <row r="42" customFormat="false" ht="15" hidden="false" customHeight="true" outlineLevel="0" collapsed="false">
      <c r="A42" s="20" t="n">
        <v>0.0021</v>
      </c>
      <c r="B42" s="21" t="n">
        <f aca="false">(A42^3*($J$2-$J$3)*$J$4/($J$3*$J$5^2))^(1/3)</f>
        <v>44.2350326756359</v>
      </c>
      <c r="C42" s="21" t="n">
        <f aca="false">0.13*(B42^(-0.392))*EXP(-0.015*(B42^2))+0.045*(1-EXP(-0.068*B42))</f>
        <v>0.0427773942522261</v>
      </c>
      <c r="D42" s="21" t="n">
        <f aca="false">(B42^3*C42)^0.5</f>
        <v>60.8494548589619</v>
      </c>
      <c r="E42" s="22" t="n">
        <v>41</v>
      </c>
      <c r="F42" s="23" t="n">
        <f aca="false">IF(E42&lt;=4,0.24*E42^(-1),IF(E42&lt;=10,0.14*E42^(-0.64),IF(E42&lt;=20,0.04*E42^(-0.1),IF(E42&lt;=150,0.013*E42^(0.29),0.055))))</f>
        <v>0.038163717355264</v>
      </c>
    </row>
    <row r="43" customFormat="false" ht="15" hidden="false" customHeight="true" outlineLevel="0" collapsed="false">
      <c r="A43" s="20" t="n">
        <v>0.00215</v>
      </c>
      <c r="B43" s="21" t="n">
        <f aca="false">(A43^3*($J$2-$J$3)*$J$4/($J$3*$J$5^2))^(1/3)</f>
        <v>45.2882477393415</v>
      </c>
      <c r="C43" s="21" t="n">
        <f aca="false">0.13*(B43^(-0.392))*EXP(-0.015*(B43^2))+0.045*(1-EXP(-0.068*B43))</f>
        <v>0.0429310077696368</v>
      </c>
      <c r="D43" s="21" t="n">
        <f aca="false">(B43^3*C43)^0.5</f>
        <v>63.1486132787371</v>
      </c>
      <c r="E43" s="22" t="n">
        <v>42</v>
      </c>
      <c r="F43" s="23" t="n">
        <f aca="false">IF(E43&lt;=4,0.24*E43^(-1),IF(E43&lt;=10,0.14*E43^(-0.64),IF(E43&lt;=20,0.04*E43^(-0.1),IF(E43&lt;=150,0.013*E43^(0.29),0.055))))</f>
        <v>0.0384313505379752</v>
      </c>
    </row>
    <row r="44" customFormat="false" ht="15" hidden="false" customHeight="true" outlineLevel="0" collapsed="false">
      <c r="A44" s="20" t="n">
        <v>0.0022</v>
      </c>
      <c r="B44" s="21" t="n">
        <f aca="false">(A44^3*($J$2-$J$3)*$J$4/($J$3*$J$5^2))^(1/3)</f>
        <v>46.3414628030471</v>
      </c>
      <c r="C44" s="21" t="n">
        <f aca="false">0.13*(B44^(-0.392))*EXP(-0.015*(B44^2))+0.045*(1-EXP(-0.068*B44))</f>
        <v>0.0430740044186491</v>
      </c>
      <c r="D44" s="21" t="n">
        <f aca="false">(B44^3*C44)^0.5</f>
        <v>65.4729986364214</v>
      </c>
      <c r="E44" s="22" t="n">
        <v>43</v>
      </c>
      <c r="F44" s="23" t="n">
        <f aca="false">IF(E44&lt;=4,0.24*E44^(-1),IF(E44&lt;=10,0.14*E44^(-0.64),IF(E44&lt;=20,0.04*E44^(-0.1),IF(E44&lt;=150,0.013*E44^(0.29),0.055))))</f>
        <v>0.0386944969021117</v>
      </c>
    </row>
    <row r="45" customFormat="false" ht="15" hidden="false" customHeight="true" outlineLevel="0" collapsed="false">
      <c r="A45" s="20" t="n">
        <v>0.00225</v>
      </c>
      <c r="B45" s="21" t="n">
        <f aca="false">(A45^3*($J$2-$J$3)*$J$4/($J$3*$J$5^2))^(1/3)</f>
        <v>47.3946778667527</v>
      </c>
      <c r="C45" s="21" t="n">
        <f aca="false">0.13*(B45^(-0.392))*EXP(-0.015*(B45^2))+0.045*(1-EXP(-0.068*B45))</f>
        <v>0.0432071179751455</v>
      </c>
      <c r="D45" s="21" t="n">
        <f aca="false">(B45^3*C45)^0.5</f>
        <v>67.822221838516</v>
      </c>
      <c r="E45" s="22" t="n">
        <v>44</v>
      </c>
      <c r="F45" s="23" t="n">
        <f aca="false">IF(E45&lt;=4,0.24*E45^(-1),IF(E45&lt;=10,0.14*E45^(-0.64),IF(E45&lt;=20,0.04*E45^(-0.1),IF(E45&lt;=150,0.013*E45^(0.29),0.055))))</f>
        <v>0.0389533334439472</v>
      </c>
    </row>
    <row r="46" customFormat="false" ht="15" hidden="false" customHeight="true" outlineLevel="0" collapsed="false">
      <c r="A46" s="20" t="n">
        <v>0.0023</v>
      </c>
      <c r="B46" s="21" t="n">
        <f aca="false">(A46^3*($J$2-$J$3)*$J$4/($J$3*$J$5^2))^(1/3)</f>
        <v>48.4478929304583</v>
      </c>
      <c r="C46" s="21" t="n">
        <f aca="false">0.13*(B46^(-0.392))*EXP(-0.015*(B46^2))+0.045*(1-EXP(-0.068*B46))</f>
        <v>0.0433310315007101</v>
      </c>
      <c r="D46" s="21" t="n">
        <f aca="false">(B46^3*C46)^0.5</f>
        <v>70.1959174126405</v>
      </c>
      <c r="E46" s="22" t="n">
        <v>45</v>
      </c>
      <c r="F46" s="23" t="n">
        <f aca="false">IF(E46&lt;=4,0.24*E46^(-1),IF(E46&lt;=10,0.14*E46^(-0.64),IF(E46&lt;=20,0.04*E46^(-0.1),IF(E46&lt;=150,0.013*E46^(0.29),0.055))))</f>
        <v>0.0392080263433811</v>
      </c>
    </row>
    <row r="47" customFormat="false" ht="15" hidden="false" customHeight="true" outlineLevel="0" collapsed="false">
      <c r="A47" s="20" t="n">
        <v>0.00235</v>
      </c>
      <c r="B47" s="21" t="n">
        <f aca="false">(A47^3*($J$2-$J$3)*$J$4/($J$3*$J$5^2))^(1/3)</f>
        <v>49.5011079941639</v>
      </c>
      <c r="C47" s="21" t="n">
        <f aca="false">0.13*(B47^(-0.392))*EXP(-0.015*(B47^2))+0.045*(1-EXP(-0.068*B47))</f>
        <v>0.0434463808477036</v>
      </c>
      <c r="D47" s="21" t="n">
        <f aca="false">(B47^3*C47)^0.5</f>
        <v>72.5937417899457</v>
      </c>
      <c r="E47" s="22" t="n">
        <v>46</v>
      </c>
      <c r="F47" s="23" t="n">
        <f aca="false">IF(E47&lt;=4,0.24*E47^(-1),IF(E47&lt;=10,0.14*E47^(-0.64),IF(E47&lt;=20,0.04*E47^(-0.1),IF(E47&lt;=150,0.013*E47^(0.29),0.055))))</f>
        <v>0.0394587318489359</v>
      </c>
    </row>
    <row r="48" customFormat="false" ht="15" hidden="false" customHeight="true" outlineLevel="0" collapsed="false">
      <c r="A48" s="20" t="n">
        <v>0.0024</v>
      </c>
      <c r="B48" s="21" t="n">
        <f aca="false">(A48^3*($J$2-$J$3)*$J$4/($J$3*$J$5^2))^(1/3)</f>
        <v>50.5543230578695</v>
      </c>
      <c r="C48" s="21" t="n">
        <f aca="false">0.13*(B48^(-0.392))*EXP(-0.015*(B48^2))+0.045*(1-EXP(-0.068*B48))</f>
        <v>0.0435537579220883</v>
      </c>
      <c r="D48" s="21" t="n">
        <f aca="false">(B48^3*C48)^0.5</f>
        <v>75.0153717029774</v>
      </c>
      <c r="E48" s="22" t="n">
        <v>47</v>
      </c>
      <c r="F48" s="23" t="n">
        <f aca="false">IF(E48&lt;=4,0.24*E48^(-1),IF(E48&lt;=10,0.14*E48^(-0.64),IF(E48&lt;=20,0.04*E48^(-0.1),IF(E48&lt;=150,0.013*E48^(0.29),0.055))))</f>
        <v>0.0397055970728054</v>
      </c>
    </row>
    <row r="49" customFormat="false" ht="15" hidden="false" customHeight="true" outlineLevel="0" collapsed="false">
      <c r="A49" s="20" t="n">
        <v>0.00245</v>
      </c>
      <c r="B49" s="21" t="n">
        <f aca="false">(A49^3*($J$2-$J$3)*$J$4/($J$3*$J$5^2))^(1/3)</f>
        <v>51.6075381215752</v>
      </c>
      <c r="C49" s="21" t="n">
        <f aca="false">0.13*(B49^(-0.392))*EXP(-0.015*(B49^2))+0.045*(1-EXP(-0.068*B49))</f>
        <v>0.0436537137207463</v>
      </c>
      <c r="D49" s="21" t="n">
        <f aca="false">(B49^3*C49)^0.5</f>
        <v>77.460502692238</v>
      </c>
      <c r="E49" s="22" t="n">
        <v>48</v>
      </c>
      <c r="F49" s="23" t="n">
        <f aca="false">IF(E49&lt;=4,0.24*E49^(-1),IF(E49&lt;=10,0.14*E49^(-0.64),IF(E49&lt;=20,0.04*E49^(-0.1),IF(E49&lt;=150,0.013*E49^(0.29),0.055))))</f>
        <v>0.0399487607068035</v>
      </c>
    </row>
    <row r="50" customFormat="false" ht="15" hidden="false" customHeight="true" outlineLevel="0" collapsed="false">
      <c r="A50" s="20" t="n">
        <v>0.0025</v>
      </c>
      <c r="B50" s="21" t="n">
        <f aca="false">(A50^3*($J$2-$J$3)*$J$4/($J$3*$J$5^2))^(1/3)</f>
        <v>52.6607531852808</v>
      </c>
      <c r="C50" s="21" t="n">
        <f aca="false">0.13*(B50^(-0.392))*EXP(-0.015*(B50^2))+0.045*(1-EXP(-0.068*B50))</f>
        <v>0.0437467611588761</v>
      </c>
      <c r="D50" s="21" t="n">
        <f aca="false">(B50^3*C50)^0.5</f>
        <v>79.9288477150086</v>
      </c>
      <c r="E50" s="22" t="n">
        <v>49</v>
      </c>
      <c r="F50" s="23" t="n">
        <f aca="false">IF(E50&lt;=4,0.24*E50^(-1),IF(E50&lt;=10,0.14*E50^(-0.64),IF(E50&lt;=20,0.04*E50^(-0.1),IF(E50&lt;=150,0.013*E50^(0.29),0.055))))</f>
        <v>0.0401883536685572</v>
      </c>
    </row>
    <row r="51" customFormat="false" ht="15" hidden="false" customHeight="true" outlineLevel="0" collapsed="false">
      <c r="A51" s="20" t="n">
        <v>0.00255</v>
      </c>
      <c r="B51" s="21" t="n">
        <f aca="false">(A51^3*($J$2-$J$3)*$J$4/($J$3*$J$5^2))^(1/3)</f>
        <v>53.7139682489864</v>
      </c>
      <c r="C51" s="21" t="n">
        <f aca="false">0.13*(B51^(-0.392))*EXP(-0.015*(B51^2))+0.045*(1-EXP(-0.068*B51))</f>
        <v>0.0438333777019757</v>
      </c>
      <c r="D51" s="21" t="n">
        <f aca="false">(B51^3*C51)^0.5</f>
        <v>82.4201358503087</v>
      </c>
      <c r="E51" s="22" t="n">
        <v>50</v>
      </c>
      <c r="F51" s="23" t="n">
        <f aca="false">IF(E51&lt;=4,0.24*E51^(-1),IF(E51&lt;=10,0.14*E51^(-0.64),IF(E51&lt;=20,0.04*E51^(-0.1),IF(E51&lt;=150,0.013*E51^(0.29),0.055))))</f>
        <v>0.0404244996860155</v>
      </c>
    </row>
    <row r="52" customFormat="false" ht="15" hidden="false" customHeight="true" outlineLevel="0" collapsed="false">
      <c r="A52" s="20" t="n">
        <v>0.0026</v>
      </c>
      <c r="B52" s="21" t="n">
        <f aca="false">(A52^3*($J$2-$J$3)*$J$4/($J$3*$J$5^2))^(1/3)</f>
        <v>54.767183312692</v>
      </c>
      <c r="C52" s="21" t="n">
        <f aca="false">0.13*(B52^(-0.392))*EXP(-0.015*(B52^2))+0.045*(1-EXP(-0.068*B52))</f>
        <v>0.0439140078159187</v>
      </c>
      <c r="D52" s="21" t="n">
        <f aca="false">(B52^3*C52)^0.5</f>
        <v>84.9341110941704</v>
      </c>
      <c r="E52" s="22" t="n">
        <v>51</v>
      </c>
      <c r="F52" s="23" t="n">
        <f aca="false">IF(E52&lt;=4,0.24*E52^(-1),IF(E52&lt;=10,0.14*E52^(-0.64),IF(E52&lt;=20,0.04*E52^(-0.1),IF(E52&lt;=150,0.013*E52^(0.29),0.055))))</f>
        <v>0.0406573158272734</v>
      </c>
    </row>
    <row r="53" customFormat="false" ht="15" hidden="false" customHeight="true" outlineLevel="0" collapsed="false">
      <c r="A53" s="20" t="n">
        <v>0.00265</v>
      </c>
      <c r="B53" s="21" t="n">
        <f aca="false">(A53^3*($J$2-$J$3)*$J$4/($J$3*$J$5^2))^(1/3)</f>
        <v>55.8203983763976</v>
      </c>
      <c r="C53" s="21" t="n">
        <f aca="false">0.13*(B53^(-0.392))*EXP(-0.015*(B53^2))+0.045*(1-EXP(-0.068*B53))</f>
        <v>0.043989065247696</v>
      </c>
      <c r="D53" s="21" t="n">
        <f aca="false">(B53^3*C53)^0.5</f>
        <v>87.470531239695</v>
      </c>
      <c r="E53" s="22" t="n">
        <v>52</v>
      </c>
      <c r="F53" s="23" t="n">
        <f aca="false">IF(E53&lt;=4,0.24*E53^(-1),IF(E53&lt;=10,0.14*E53^(-0.64),IF(E53&lt;=20,0.04*E53^(-0.1),IF(E53&lt;=150,0.013*E53^(0.29),0.055))))</f>
        <v>0.0408869129817896</v>
      </c>
    </row>
    <row r="54" customFormat="false" ht="15" hidden="false" customHeight="true" outlineLevel="0" collapsed="false">
      <c r="A54" s="20" t="n">
        <v>0.0027</v>
      </c>
      <c r="B54" s="21" t="n">
        <f aca="false">(A54^3*($J$2-$J$3)*$J$4/($J$3*$J$5^2))^(1/3)</f>
        <v>56.8736134401033</v>
      </c>
      <c r="C54" s="21" t="n">
        <f aca="false">0.13*(B54^(-0.392))*EXP(-0.015*(B54^2))+0.045*(1-EXP(-0.068*B54))</f>
        <v>0.0440589351485245</v>
      </c>
      <c r="D54" s="21" t="n">
        <f aca="false">(B54^3*C54)^0.5</f>
        <v>90.0291668366372</v>
      </c>
      <c r="E54" s="22" t="n">
        <v>53</v>
      </c>
      <c r="F54" s="23" t="n">
        <f aca="false">IF(E54&lt;=4,0.24*E54^(-1),IF(E54&lt;=10,0.14*E54^(-0.64),IF(E54&lt;=20,0.04*E54^(-0.1),IF(E54&lt;=150,0.013*E54^(0.29),0.055))))</f>
        <v>0.0411133962983041</v>
      </c>
    </row>
    <row r="55" customFormat="false" ht="15" hidden="false" customHeight="true" outlineLevel="0" collapsed="false">
      <c r="A55" s="20" t="n">
        <v>0.00275</v>
      </c>
      <c r="B55" s="21" t="n">
        <f aca="false">(A55^3*($J$2-$J$3)*$J$4/($J$3*$J$5^2))^(1/3)</f>
        <v>57.9268285038089</v>
      </c>
      <c r="C55" s="21" t="n">
        <f aca="false">0.13*(B55^(-0.392))*EXP(-0.015*(B55^2))+0.045*(1-EXP(-0.068*B55))</f>
        <v>0.0441239760502206</v>
      </c>
      <c r="D55" s="21" t="n">
        <f aca="false">(B55^3*C55)^0.5</f>
        <v>92.6098002255388</v>
      </c>
      <c r="E55" s="22" t="n">
        <v>54</v>
      </c>
      <c r="F55" s="23" t="n">
        <f aca="false">IF(E55&lt;=4,0.24*E55^(-1),IF(E55&lt;=10,0.14*E55^(-0.64),IF(E55&lt;=20,0.04*E55^(-0.1),IF(E55&lt;=150,0.013*E55^(0.29),0.055))))</f>
        <v>0.041336865584088</v>
      </c>
    </row>
    <row r="56" customFormat="false" ht="15" hidden="false" customHeight="true" outlineLevel="0" collapsed="false">
      <c r="A56" s="20" t="n">
        <v>0.0028</v>
      </c>
      <c r="B56" s="21" t="n">
        <f aca="false">(A56^3*($J$2-$J$3)*$J$4/($J$3*$J$5^2))^(1/3)</f>
        <v>58.9800435675145</v>
      </c>
      <c r="C56" s="21" t="n">
        <f aca="false">0.13*(B56^(-0.392))*EXP(-0.015*(B56^2))+0.045*(1-EXP(-0.068*B56))</f>
        <v>0.0441845217049773</v>
      </c>
      <c r="D56" s="21" t="n">
        <f aca="false">(B56^3*C56)^0.5</f>
        <v>95.2122246416876</v>
      </c>
      <c r="E56" s="22" t="n">
        <v>55</v>
      </c>
      <c r="F56" s="23" t="n">
        <f aca="false">IF(E56&lt;=4,0.24*E56^(-1),IF(E56&lt;=10,0.14*E56^(-0.64),IF(E56&lt;=20,0.04*E56^(-0.1),IF(E56&lt;=150,0.013*E56^(0.29),0.055))))</f>
        <v>0.04155741566959</v>
      </c>
    </row>
    <row r="57" customFormat="false" ht="15" hidden="false" customHeight="true" outlineLevel="0" collapsed="false">
      <c r="A57" s="20" t="n">
        <v>0.00285</v>
      </c>
      <c r="B57" s="21" t="n">
        <f aca="false">(A57^3*($J$2-$J$3)*$J$4/($J$3*$J$5^2))^(1/3)</f>
        <v>60.0332586312201</v>
      </c>
      <c r="C57" s="21" t="n">
        <f aca="false">0.13*(B57^(-0.392))*EXP(-0.015*(B57^2))+0.045*(1-EXP(-0.068*B57))</f>
        <v>0.0442408827979867</v>
      </c>
      <c r="D57" s="21" t="n">
        <f aca="false">(B57^3*C57)^0.5</f>
        <v>97.8362433844329</v>
      </c>
      <c r="E57" s="22" t="n">
        <v>56</v>
      </c>
      <c r="F57" s="23" t="n">
        <f aca="false">IF(E57&lt;=4,0.24*E57^(-1),IF(E57&lt;=10,0.14*E57^(-0.64),IF(E57&lt;=20,0.04*E57^(-0.1),IF(E57&lt;=150,0.013*E57^(0.29),0.055))))</f>
        <v>0.0417751367420503</v>
      </c>
    </row>
    <row r="58" customFormat="false" ht="15" hidden="false" customHeight="true" outlineLevel="0" collapsed="false">
      <c r="A58" s="20" t="n">
        <v>0.0029</v>
      </c>
      <c r="B58" s="21" t="n">
        <f aca="false">(A58^3*($J$2-$J$3)*$J$4/($J$3*$J$5^2))^(1/3)</f>
        <v>61.0864736949257</v>
      </c>
      <c r="C58" s="21" t="n">
        <f aca="false">0.13*(B58^(-0.392))*EXP(-0.015*(B58^2))+0.045*(1-EXP(-0.068*B58))</f>
        <v>0.0442933485416967</v>
      </c>
      <c r="D58" s="21" t="n">
        <f aca="false">(B58^3*C58)^0.5</f>
        <v>100.481669047627</v>
      </c>
      <c r="E58" s="22" t="n">
        <v>57</v>
      </c>
      <c r="F58" s="23" t="n">
        <f aca="false">IF(E58&lt;=4,0.24*E58^(-1),IF(E58&lt;=10,0.14*E58^(-0.64),IF(E58&lt;=20,0.04*E58^(-0.1),IF(E58&lt;=150,0.013*E58^(0.29),0.055))))</f>
        <v>0.0419901146512252</v>
      </c>
    </row>
    <row r="59" customFormat="false" ht="15" hidden="false" customHeight="true" outlineLevel="0" collapsed="false">
      <c r="A59" s="20" t="n">
        <v>0.00295</v>
      </c>
      <c r="B59" s="21" t="n">
        <f aca="false">(A59^3*($J$2-$J$3)*$J$4/($J$3*$J$5^2))^(1/3)</f>
        <v>62.1396887586313</v>
      </c>
      <c r="C59" s="21" t="n">
        <f aca="false">0.13*(B59^(-0.392))*EXP(-0.015*(B59^2))+0.045*(1-EXP(-0.068*B59))</f>
        <v>0.0443421881598812</v>
      </c>
      <c r="D59" s="21" t="n">
        <f aca="false">(B59^3*C59)^0.5</f>
        <v>103.148322807194</v>
      </c>
      <c r="E59" s="22" t="n">
        <v>58</v>
      </c>
      <c r="F59" s="23" t="n">
        <f aca="false">IF(E59&lt;=4,0.24*E59^(-1),IF(E59&lt;=10,0.14*E59^(-0.64),IF(E59&lt;=20,0.04*E59^(-0.1),IF(E59&lt;=150,0.013*E59^(0.29),0.055))))</f>
        <v>0.0422024311900021</v>
      </c>
    </row>
    <row r="60" customFormat="false" ht="15" hidden="false" customHeight="true" outlineLevel="0" collapsed="false">
      <c r="A60" s="20" t="n">
        <v>0.003</v>
      </c>
      <c r="B60" s="21" t="n">
        <f aca="false">(A60^3*($J$2-$J$3)*$J$4/($J$3*$J$5^2))^(1/3)</f>
        <v>63.1929038223369</v>
      </c>
      <c r="C60" s="21" t="n">
        <f aca="false">0.13*(B60^(-0.392))*EXP(-0.015*(B60^2))+0.045*(1-EXP(-0.068*B60))</f>
        <v>0.0443876522691406</v>
      </c>
      <c r="D60" s="21" t="n">
        <f aca="false">(B60^3*C60)^0.5</f>
        <v>105.836033762055</v>
      </c>
      <c r="E60" s="22" t="n">
        <v>59</v>
      </c>
      <c r="F60" s="23" t="n">
        <f aca="false">IF(E60&lt;=4,0.24*E60^(-1),IF(E60&lt;=10,0.14*E60^(-0.64),IF(E60&lt;=20,0.04*E60^(-0.1),IF(E60&lt;=150,0.013*E60^(0.29),0.055))))</f>
        <v>0.0424121643523593</v>
      </c>
    </row>
    <row r="61" customFormat="false" ht="15" hidden="false" customHeight="true" outlineLevel="0" collapsed="false">
      <c r="A61" s="20" t="n">
        <v>0.00305</v>
      </c>
      <c r="B61" s="21" t="n">
        <f aca="false">(A61^3*($J$2-$J$3)*$J$4/($J$3*$J$5^2))^(1/3)</f>
        <v>64.2461188860426</v>
      </c>
      <c r="C61" s="21" t="n">
        <f aca="false">0.13*(B61^(-0.392))*EXP(-0.015*(B61^2))+0.045*(1-EXP(-0.068*B61))</f>
        <v>0.0444299741649209</v>
      </c>
      <c r="D61" s="21" t="n">
        <f aca="false">(B61^3*C61)^0.5</f>
        <v>108.544638324832</v>
      </c>
      <c r="E61" s="22" t="n">
        <v>60</v>
      </c>
      <c r="F61" s="23" t="n">
        <f aca="false">IF(E61&lt;=4,0.24*E61^(-1),IF(E61&lt;=10,0.14*E61^(-0.64),IF(E61&lt;=20,0.04*E61^(-0.1),IF(E61&lt;=150,0.013*E61^(0.29),0.055))))</f>
        <v>0.0426193885708538</v>
      </c>
    </row>
    <row r="62" customFormat="false" ht="15" hidden="false" customHeight="true" outlineLevel="0" collapsed="false">
      <c r="A62" s="20" t="n">
        <v>0.0031</v>
      </c>
      <c r="B62" s="21" t="n">
        <f aca="false">(A62^3*($J$2-$J$3)*$J$4/($J$3*$J$5^2))^(1/3)</f>
        <v>65.2993339497482</v>
      </c>
      <c r="C62" s="21" t="n">
        <f aca="false">0.13*(B62^(-0.392))*EXP(-0.015*(B62^2))+0.045*(1-EXP(-0.068*B62))</f>
        <v>0.0444693710186505</v>
      </c>
      <c r="D62" s="21" t="n">
        <f aca="false">(B62^3*C62)^0.5</f>
        <v>111.273979658994</v>
      </c>
      <c r="E62" s="22" t="n">
        <v>61</v>
      </c>
      <c r="F62" s="23" t="n">
        <f aca="false">IF(E62&lt;=4,0.24*E62^(-1),IF(E62&lt;=10,0.14*E62^(-0.64),IF(E62&lt;=20,0.04*E62^(-0.1),IF(E62&lt;=150,0.013*E62^(0.29),0.055))))</f>
        <v>0.0428241749355715</v>
      </c>
    </row>
    <row r="63" customFormat="false" ht="15" hidden="false" customHeight="true" outlineLevel="0" collapsed="false">
      <c r="A63" s="20" t="n">
        <v>0.00315</v>
      </c>
      <c r="B63" s="21" t="n">
        <f aca="false">(A63^3*($J$2-$J$3)*$J$4/($J$3*$J$5^2))^(1/3)</f>
        <v>66.3525490134538</v>
      </c>
      <c r="C63" s="21" t="n">
        <f aca="false">0.13*(B63^(-0.392))*EXP(-0.015*(B63^2))+0.045*(1-EXP(-0.068*B63))</f>
        <v>0.0445060449921381</v>
      </c>
      <c r="D63" s="21" t="n">
        <f aca="false">(B63^3*C63)^0.5</f>
        <v>114.023907159249</v>
      </c>
      <c r="E63" s="22" t="n">
        <v>62</v>
      </c>
      <c r="F63" s="23" t="n">
        <f aca="false">IF(E63&lt;=4,0.24*E63^(-1),IF(E63&lt;=10,0.14*E63^(-0.64),IF(E63&lt;=20,0.04*E63^(-0.1),IF(E63&lt;=150,0.013*E63^(0.29),0.055))))</f>
        <v>0.0430265913962674</v>
      </c>
    </row>
    <row r="64" customFormat="false" ht="15" hidden="false" customHeight="true" outlineLevel="0" collapsed="false">
      <c r="A64" s="20" t="n">
        <v>0.0032</v>
      </c>
      <c r="B64" s="21" t="n">
        <f aca="false">(A64^3*($J$2-$J$3)*$J$4/($J$3*$J$5^2))^(1/3)</f>
        <v>67.4057640771594</v>
      </c>
      <c r="C64" s="21" t="n">
        <f aca="false">0.13*(B64^(-0.392))*EXP(-0.015*(B64^2))+0.045*(1-EXP(-0.068*B64))</f>
        <v>0.0445401842749497</v>
      </c>
      <c r="D64" s="21" t="n">
        <f aca="false">(B64^3*C64)^0.5</f>
        <v>116.794275972234</v>
      </c>
      <c r="E64" s="22" t="n">
        <v>63</v>
      </c>
      <c r="F64" s="23" t="n">
        <f aca="false">IF(E64&lt;=4,0.24*E64^(-1),IF(E64&lt;=10,0.14*E64^(-0.64),IF(E64&lt;=20,0.04*E64^(-0.1),IF(E64&lt;=150,0.013*E64^(0.29),0.055))))</f>
        <v>0.043226702949234</v>
      </c>
    </row>
    <row r="65" customFormat="false" ht="15" hidden="false" customHeight="true" outlineLevel="0" collapsed="false">
      <c r="A65" s="20" t="n">
        <v>0.00325</v>
      </c>
      <c r="B65" s="21" t="n">
        <f aca="false">(A65^3*($J$2-$J$3)*$J$4/($J$3*$J$5^2))^(1/3)</f>
        <v>68.458979140865</v>
      </c>
      <c r="C65" s="21" t="n">
        <f aca="false">0.13*(B65^(-0.392))*EXP(-0.015*(B65^2))+0.045*(1-EXP(-0.068*B65))</f>
        <v>0.044571964050089</v>
      </c>
      <c r="D65" s="21" t="n">
        <f aca="false">(B65^3*C65)^0.5</f>
        <v>119.584946554671</v>
      </c>
      <c r="E65" s="22" t="n">
        <v>64</v>
      </c>
      <c r="F65" s="23" t="n">
        <f aca="false">IF(E65&lt;=4,0.24*E65^(-1),IF(E65&lt;=10,0.14*E65^(-0.64),IF(E65&lt;=20,0.04*E65^(-0.1),IF(E65&lt;=150,0.013*E65^(0.29),0.055))))</f>
        <v>0.0434245718102752</v>
      </c>
    </row>
    <row r="66" customFormat="false" ht="15" hidden="false" customHeight="true" outlineLevel="0" collapsed="false">
      <c r="A66" s="20" t="n">
        <v>0.0033</v>
      </c>
      <c r="B66" s="21" t="n">
        <f aca="false">(A66^3*($J$2-$J$3)*$J$4/($J$3*$J$5^2))^(1/3)</f>
        <v>69.5121942045706</v>
      </c>
      <c r="C66" s="21" t="n">
        <f aca="false">0.13*(B66^(-0.392))*EXP(-0.015*(B66^2))+0.045*(1-EXP(-0.068*B66))</f>
        <v>0.044601547392934</v>
      </c>
      <c r="D66" s="21" t="n">
        <f aca="false">(B66^3*C66)^0.5</f>
        <v>122.395784266376</v>
      </c>
      <c r="E66" s="22" t="n">
        <v>65</v>
      </c>
      <c r="F66" s="23" t="n">
        <f aca="false">IF(E66&lt;=4,0.24*E66^(-1),IF(E66&lt;=10,0.14*E66^(-0.64),IF(E66&lt;=20,0.04*E66^(-0.1),IF(E66&lt;=150,0.013*E66^(0.29),0.055))))</f>
        <v>0.0436202575750192</v>
      </c>
    </row>
    <row r="67" customFormat="false" ht="15" hidden="false" customHeight="true" outlineLevel="0" collapsed="false">
      <c r="A67" s="20" t="n">
        <v>0.00335</v>
      </c>
      <c r="B67" s="21" t="n">
        <f aca="false">(A67^3*($J$2-$J$3)*$J$4/($J$3*$J$5^2))^(1/3)</f>
        <v>70.5654092682763</v>
      </c>
      <c r="C67" s="21" t="n">
        <f aca="false">0.13*(B67^(-0.392))*EXP(-0.015*(B67^2))+0.045*(1-EXP(-0.068*B67))</f>
        <v>0.044629086108046</v>
      </c>
      <c r="D67" s="21" t="n">
        <f aca="false">(B67^3*C67)^0.5</f>
        <v>125.226658995635</v>
      </c>
      <c r="E67" s="22" t="n">
        <v>66</v>
      </c>
      <c r="F67" s="23" t="n">
        <f aca="false">IF(E67&lt;=4,0.24*E67^(-1),IF(E67&lt;=10,0.14*E67^(-0.64),IF(E67&lt;=20,0.04*E67^(-0.1),IF(E67&lt;=150,0.013*E67^(0.29),0.055))))</f>
        <v>0.0438138173676756</v>
      </c>
    </row>
    <row r="68" customFormat="false" ht="15" hidden="false" customHeight="true" outlineLevel="0" collapsed="false">
      <c r="A68" s="20" t="n">
        <v>0.0034</v>
      </c>
      <c r="B68" s="21" t="n">
        <f aca="false">(A68^3*($J$2-$J$3)*$J$4/($J$3*$J$5^2))^(1/3)</f>
        <v>71.6186243319819</v>
      </c>
      <c r="C68" s="21" t="n">
        <f aca="false">0.13*(B68^(-0.392))*EXP(-0.015*(B68^2))+0.045*(1-EXP(-0.068*B68))</f>
        <v>0.0446547215081425</v>
      </c>
      <c r="D68" s="21" t="n">
        <f aca="false">(B68^3*C68)^0.5</f>
        <v>128.077444814635</v>
      </c>
      <c r="E68" s="22" t="n">
        <v>67</v>
      </c>
      <c r="F68" s="23" t="n">
        <f aca="false">IF(E68&lt;=4,0.24*E68^(-1),IF(E68&lt;=10,0.14*E68^(-0.64),IF(E68&lt;=20,0.04*E68^(-0.1),IF(E68&lt;=150,0.013*E68^(0.29),0.055))))</f>
        <v>0.0440053059792323</v>
      </c>
    </row>
    <row r="69" customFormat="false" ht="15" hidden="false" customHeight="true" outlineLevel="0" collapsed="false">
      <c r="A69" s="20" t="n">
        <v>0.00345</v>
      </c>
      <c r="B69" s="21" t="n">
        <f aca="false">(A69^3*($J$2-$J$3)*$J$4/($J$3*$J$5^2))^(1/3)</f>
        <v>72.6718393956875</v>
      </c>
      <c r="C69" s="21" t="n">
        <f aca="false">0.13*(B69^(-0.392))*EXP(-0.015*(B69^2))+0.045*(1-EXP(-0.068*B69))</f>
        <v>0.0446785851392318</v>
      </c>
      <c r="D69" s="21" t="n">
        <f aca="false">(B69^3*C69)^0.5</f>
        <v>130.948019662762</v>
      </c>
      <c r="E69" s="22" t="n">
        <v>68</v>
      </c>
      <c r="F69" s="23" t="n">
        <f aca="false">IF(E69&lt;=4,0.24*E69^(-1),IF(E69&lt;=10,0.14*E69^(-0.64),IF(E69&lt;=20,0.04*E69^(-0.1),IF(E69&lt;=150,0.013*E69^(0.29),0.055))))</f>
        <v>0.044194775995987</v>
      </c>
    </row>
    <row r="70" customFormat="false" ht="15" hidden="false" customHeight="true" outlineLevel="0" collapsed="false">
      <c r="A70" s="20" t="n">
        <v>0.0035</v>
      </c>
      <c r="B70" s="21" t="n">
        <f aca="false">(A70^3*($J$2-$J$3)*$J$4/($J$3*$J$5^2))^(1/3)</f>
        <v>73.7250544593931</v>
      </c>
      <c r="C70" s="21" t="n">
        <f aca="false">0.13*(B70^(-0.392))*EXP(-0.015*(B70^2))+0.045*(1-EXP(-0.068*B70))</f>
        <v>0.044700799455631</v>
      </c>
      <c r="D70" s="21" t="n">
        <f aca="false">(B70^3*C70)^0.5</f>
        <v>133.838265055739</v>
      </c>
      <c r="E70" s="22" t="n">
        <v>69</v>
      </c>
      <c r="F70" s="23" t="n">
        <f aca="false">IF(E70&lt;=4,0.24*E70^(-1),IF(E70&lt;=10,0.14*E70^(-0.64),IF(E70&lt;=20,0.04*E70^(-0.1),IF(E70&lt;=150,0.013*E70^(0.29),0.055))))</f>
        <v>0.0443822779192213</v>
      </c>
    </row>
    <row r="71" customFormat="false" ht="15" hidden="false" customHeight="true" outlineLevel="0" collapsed="false">
      <c r="A71" s="20" t="n">
        <v>0.00355</v>
      </c>
      <c r="B71" s="21" t="n">
        <f aca="false">(A71^3*($J$2-$J$3)*$J$4/($J$3*$J$5^2))^(1/3)</f>
        <v>74.7782695230987</v>
      </c>
      <c r="C71" s="21" t="n">
        <f aca="false">0.13*(B71^(-0.392))*EXP(-0.015*(B71^2))+0.045*(1-EXP(-0.068*B71))</f>
        <v>0.0447214784483308</v>
      </c>
      <c r="D71" s="21" t="n">
        <f aca="false">(B71^3*C71)^0.5</f>
        <v>136.748065818698</v>
      </c>
      <c r="E71" s="22" t="n">
        <v>70</v>
      </c>
      <c r="F71" s="23" t="n">
        <f aca="false">IF(E71&lt;=4,0.24*E71^(-1),IF(E71&lt;=10,0.14*E71^(-0.64),IF(E71&lt;=20,0.04*E71^(-0.1),IF(E71&lt;=150,0.013*E71^(0.29),0.055))))</f>
        <v>0.0445678602767462</v>
      </c>
    </row>
    <row r="72" customFormat="false" ht="15" hidden="false" customHeight="true" outlineLevel="0" collapsed="false">
      <c r="A72" s="20" t="n">
        <v>0.0036</v>
      </c>
      <c r="B72" s="21" t="n">
        <f aca="false">(A72^3*($J$2-$J$3)*$J$4/($J$3*$J$5^2))^(1/3)</f>
        <v>75.8314845868043</v>
      </c>
      <c r="C72" s="21" t="n">
        <f aca="false">0.13*(B72^(-0.392))*EXP(-0.015*(B72^2))+0.045*(1-EXP(-0.068*B72))</f>
        <v>0.0447407282299309</v>
      </c>
      <c r="D72" s="21" t="n">
        <f aca="false">(B72^3*C72)^0.5</f>
        <v>139.67730984138</v>
      </c>
      <c r="E72" s="22" t="n">
        <v>71</v>
      </c>
      <c r="F72" s="23" t="n">
        <f aca="false">IF(E72&lt;=4,0.24*E72^(-1),IF(E72&lt;=10,0.14*E72^(-0.64),IF(E72&lt;=20,0.04*E72^(-0.1),IF(E72&lt;=150,0.013*E72^(0.29),0.055))))</f>
        <v>0.0447515697269793</v>
      </c>
    </row>
    <row r="73" customFormat="false" ht="15" hidden="false" customHeight="true" outlineLevel="0" collapsed="false">
      <c r="A73" s="20" t="n">
        <v>0.00365</v>
      </c>
      <c r="B73" s="21" t="n">
        <f aca="false">(A73^3*($J$2-$J$3)*$J$4/($J$3*$J$5^2))^(1/3)</f>
        <v>76.8846996505099</v>
      </c>
      <c r="C73" s="21" t="n">
        <f aca="false">0.13*(B73^(-0.392))*EXP(-0.015*(B73^2))+0.045*(1-EXP(-0.068*B73))</f>
        <v>0.0447586475791481</v>
      </c>
      <c r="D73" s="21" t="n">
        <f aca="false">(B73^3*C73)^0.5</f>
        <v>142.625887853829</v>
      </c>
      <c r="E73" s="22" t="n">
        <v>72</v>
      </c>
      <c r="F73" s="23" t="n">
        <f aca="false">IF(E73&lt;=4,0.24*E73^(-1),IF(E73&lt;=10,0.14*E73^(-0.64),IF(E73&lt;=20,0.04*E73^(-0.1),IF(E73&lt;=150,0.013*E73^(0.29),0.055))))</f>
        <v>0.044933451156151</v>
      </c>
    </row>
    <row r="74" customFormat="false" ht="15" hidden="false" customHeight="true" outlineLevel="0" collapsed="false">
      <c r="A74" s="20" t="n">
        <v>0.0037</v>
      </c>
      <c r="B74" s="21" t="n">
        <f aca="false">(A74^3*($J$2-$J$3)*$J$4/($J$3*$J$5^2))^(1/3)</f>
        <v>77.9379147142156</v>
      </c>
      <c r="C74" s="21" t="n">
        <f aca="false">0.13*(B74^(-0.392))*EXP(-0.015*(B74^2))+0.045*(1-EXP(-0.068*B74))</f>
        <v>0.044775328447692</v>
      </c>
      <c r="D74" s="21" t="n">
        <f aca="false">(B74^3*C74)^0.5</f>
        <v>145.593693220993</v>
      </c>
      <c r="E74" s="22" t="n">
        <v>73</v>
      </c>
      <c r="F74" s="23" t="n">
        <f aca="false">IF(E74&lt;=4,0.24*E74^(-1),IF(E74&lt;=10,0.14*E74^(-0.64),IF(E74&lt;=20,0.04*E74^(-0.1),IF(E74&lt;=150,0.013*E74^(0.29),0.055))))</f>
        <v>0.0451135477691826</v>
      </c>
    </row>
    <row r="75" customFormat="false" ht="15" hidden="false" customHeight="true" outlineLevel="0" collapsed="false">
      <c r="A75" s="20" t="n">
        <v>0.00375</v>
      </c>
      <c r="B75" s="21" t="n">
        <f aca="false">(A75^3*($J$2-$J$3)*$J$4/($J$3*$J$5^2))^(1/3)</f>
        <v>78.9911297779212</v>
      </c>
      <c r="C75" s="21" t="n">
        <f aca="false">0.13*(B75^(-0.392))*EXP(-0.015*(B75^2))+0.045*(1-EXP(-0.068*B75))</f>
        <v>0.0447908564321074</v>
      </c>
      <c r="D75" s="21" t="n">
        <f aca="false">(B75^3*C75)^0.5</f>
        <v>148.580621754797</v>
      </c>
      <c r="E75" s="22" t="n">
        <v>74</v>
      </c>
      <c r="F75" s="23" t="n">
        <f aca="false">IF(E75&lt;=4,0.24*E75^(-1),IF(E75&lt;=10,0.14*E75^(-0.64),IF(E75&lt;=20,0.04*E75^(-0.1),IF(E75&lt;=150,0.013*E75^(0.29),0.055))))</f>
        <v>0.0452919011747281</v>
      </c>
    </row>
    <row r="76" customFormat="false" ht="15" hidden="false" customHeight="true" outlineLevel="0" collapsed="false">
      <c r="A76" s="20" t="n">
        <v>0.0038</v>
      </c>
      <c r="B76" s="21" t="n">
        <f aca="false">(A76^3*($J$2-$J$3)*$J$4/($J$3*$J$5^2))^(1/3)</f>
        <v>80.0443448416268</v>
      </c>
      <c r="C76" s="21" t="n">
        <f aca="false">0.13*(B76^(-0.392))*EXP(-0.015*(B76^2))+0.045*(1-EXP(-0.068*B76))</f>
        <v>0.0448053112130062</v>
      </c>
      <c r="D76" s="21" t="n">
        <f aca="false">(B76^3*C76)^0.5</f>
        <v>151.586571542324</v>
      </c>
      <c r="E76" s="22" t="n">
        <v>75</v>
      </c>
      <c r="F76" s="23" t="n">
        <f aca="false">IF(E76&lt;=4,0.24*E76^(-1),IF(E76&lt;=10,0.14*E76^(-0.64),IF(E76&lt;=20,0.04*E76^(-0.1),IF(E76&lt;=150,0.013*E76^(0.29),0.055))))</f>
        <v>0.0454685514648286</v>
      </c>
    </row>
    <row r="77" customFormat="false" ht="15" hidden="false" customHeight="true" outlineLevel="0" collapsed="false">
      <c r="A77" s="20" t="n">
        <v>0.00385</v>
      </c>
      <c r="B77" s="21" t="n">
        <f aca="false">(A77^3*($J$2-$J$3)*$J$4/($J$3*$J$5^2))^(1/3)</f>
        <v>81.0975599053324</v>
      </c>
      <c r="C77" s="21" t="n">
        <f aca="false">0.13*(B77^(-0.392))*EXP(-0.015*(B77^2))+0.045*(1-EXP(-0.068*B77))</f>
        <v>0.0448187669639424</v>
      </c>
      <c r="D77" s="21" t="n">
        <f aca="false">(B77^3*C77)^0.5</f>
        <v>154.611442788852</v>
      </c>
      <c r="E77" s="22" t="n">
        <v>76</v>
      </c>
      <c r="F77" s="23" t="n">
        <f aca="false">IF(E77&lt;=4,0.24*E77^(-1),IF(E77&lt;=10,0.14*E77^(-0.64),IF(E77&lt;=20,0.04*E77^(-0.1),IF(E77&lt;=150,0.013*E77^(0.29),0.055))))</f>
        <v>0.0456435372895881</v>
      </c>
    </row>
    <row r="78" customFormat="false" ht="15" hidden="false" customHeight="true" outlineLevel="0" collapsed="false">
      <c r="A78" s="20" t="n">
        <v>0.0039</v>
      </c>
      <c r="B78" s="21" t="n">
        <f aca="false">(A78^3*($J$2-$J$3)*$J$4/($J$3*$J$5^2))^(1/3)</f>
        <v>82.150774969038</v>
      </c>
      <c r="C78" s="21" t="n">
        <f aca="false">0.13*(B78^(-0.392))*EXP(-0.015*(B78^2))+0.045*(1-EXP(-0.068*B78))</f>
        <v>0.0448312927320271</v>
      </c>
      <c r="D78" s="21" t="n">
        <f aca="false">(B78^3*C78)^0.5</f>
        <v>157.65513767456</v>
      </c>
      <c r="E78" s="22" t="n">
        <v>77</v>
      </c>
      <c r="F78" s="23" t="n">
        <f aca="false">IF(E78&lt;=4,0.24*E78^(-1),IF(E78&lt;=10,0.14*E78^(-0.64),IF(E78&lt;=20,0.04*E78^(-0.1),IF(E78&lt;=150,0.013*E78^(0.29),0.055))))</f>
        <v>0.0458168959272408</v>
      </c>
    </row>
    <row r="79" customFormat="false" ht="15" hidden="false" customHeight="true" outlineLevel="0" collapsed="false">
      <c r="A79" s="20" t="n">
        <v>0.00395</v>
      </c>
      <c r="B79" s="21" t="n">
        <f aca="false">(A79^3*($J$2-$J$3)*$J$4/($J$3*$J$5^2))^(1/3)</f>
        <v>83.2039900327436</v>
      </c>
      <c r="C79" s="21" t="n">
        <f aca="false">0.13*(B79^(-0.392))*EXP(-0.015*(B79^2))+0.045*(1-EXP(-0.068*B79))</f>
        <v>0.0448429527922392</v>
      </c>
      <c r="D79" s="21" t="n">
        <f aca="false">(B79^3*C79)^0.5</f>
        <v>160.717560223821</v>
      </c>
      <c r="E79" s="22" t="n">
        <v>78</v>
      </c>
      <c r="F79" s="23" t="n">
        <f aca="false">IF(E79&lt;=4,0.24*E79^(-1),IF(E79&lt;=10,0.14*E79^(-0.64),IF(E79&lt;=20,0.04*E79^(-0.1),IF(E79&lt;=150,0.013*E79^(0.29),0.055))))</f>
        <v>0.0459886633499536</v>
      </c>
    </row>
    <row r="80" customFormat="false" ht="15" hidden="false" customHeight="true" outlineLevel="0" collapsed="false">
      <c r="A80" s="20" t="n">
        <v>0.004</v>
      </c>
      <c r="B80" s="21" t="n">
        <f aca="false">(A80^3*($J$2-$J$3)*$J$4/($J$3*$J$5^2))^(1/3)</f>
        <v>84.2572050964493</v>
      </c>
      <c r="C80" s="21" t="n">
        <f aca="false">0.13*(B80^(-0.392))*EXP(-0.015*(B80^2))+0.045*(1-EXP(-0.068*B80))</f>
        <v>0.0448538069772463</v>
      </c>
      <c r="D80" s="21" t="n">
        <f aca="false">(B80^3*C80)^0.5</f>
        <v>163.798616186062</v>
      </c>
      <c r="E80" s="22" t="n">
        <v>79</v>
      </c>
      <c r="F80" s="23" t="n">
        <f aca="false">IF(E80&lt;=4,0.24*E80^(-1),IF(E80&lt;=10,0.14*E80^(-0.64),IF(E80&lt;=20,0.04*E80^(-0.1),IF(E80&lt;=150,0.013*E80^(0.29),0.055))))</f>
        <v>0.046158874285671</v>
      </c>
    </row>
    <row r="81" customFormat="false" ht="15" hidden="false" customHeight="true" outlineLevel="0" collapsed="false">
      <c r="A81" s="20" t="n">
        <v>0.00405</v>
      </c>
      <c r="B81" s="21" t="n">
        <f aca="false">(A81^3*($J$2-$J$3)*$J$4/($J$3*$J$5^2))^(1/3)</f>
        <v>85.3104201601549</v>
      </c>
      <c r="C81" s="21" t="n">
        <f aca="false">0.13*(B81^(-0.392))*EXP(-0.015*(B81^2))+0.045*(1-EXP(-0.068*B81))</f>
        <v>0.0448639109844321</v>
      </c>
      <c r="D81" s="21" t="n">
        <f aca="false">(B81^3*C81)^0.5</f>
        <v>166.898212927254</v>
      </c>
      <c r="E81" s="22" t="n">
        <v>80</v>
      </c>
      <c r="F81" s="23" t="n">
        <f aca="false">IF(E81&lt;=4,0.24*E81^(-1),IF(E81&lt;=10,0.14*E81^(-0.64),IF(E81&lt;=20,0.04*E81^(-0.1),IF(E81&lt;=150,0.013*E81^(0.29),0.055))))</f>
        <v>0.0463275622762903</v>
      </c>
    </row>
    <row r="82" customFormat="false" ht="15" hidden="false" customHeight="true" outlineLevel="0" collapsed="false">
      <c r="A82" s="20" t="n">
        <v>0.0041</v>
      </c>
      <c r="B82" s="21" t="n">
        <f aca="false">(A82^3*($J$2-$J$3)*$J$4/($J$3*$J$5^2))^(1/3)</f>
        <v>86.3636352238605</v>
      </c>
      <c r="C82" s="21" t="n">
        <f aca="false">0.13*(B82^(-0.392))*EXP(-0.015*(B82^2))+0.045*(1-EXP(-0.068*B82))</f>
        <v>0.0448733166617025</v>
      </c>
      <c r="D82" s="21" t="n">
        <f aca="false">(B82^3*C82)^0.5</f>
        <v>170.016259331141</v>
      </c>
      <c r="E82" s="22" t="n">
        <v>81</v>
      </c>
      <c r="F82" s="23" t="n">
        <f aca="false">IF(E82&lt;=4,0.24*E82^(-1),IF(E82&lt;=10,0.14*E82^(-0.64),IF(E82&lt;=20,0.04*E82^(-0.1),IF(E82&lt;=150,0.013*E82^(0.29),0.055))))</f>
        <v>0.0464947597324257</v>
      </c>
    </row>
    <row r="83" customFormat="false" ht="15" hidden="false" customHeight="true" outlineLevel="0" collapsed="false">
      <c r="A83" s="20" t="n">
        <v>0.00415</v>
      </c>
      <c r="B83" s="21" t="n">
        <f aca="false">(A83^3*($J$2-$J$3)*$J$4/($J$3*$J$5^2))^(1/3)</f>
        <v>87.4168502875661</v>
      </c>
      <c r="C83" s="21" t="n">
        <f aca="false">0.13*(B83^(-0.392))*EXP(-0.015*(B83^2))+0.045*(1-EXP(-0.068*B83))</f>
        <v>0.0448820722735392</v>
      </c>
      <c r="D83" s="21" t="n">
        <f aca="false">(B83^3*C83)^0.5</f>
        <v>173.152665709423</v>
      </c>
      <c r="E83" s="22" t="n">
        <v>82</v>
      </c>
      <c r="F83" s="23" t="n">
        <f aca="false">IF(E83&lt;=4,0.24*E83^(-1),IF(E83&lt;=10,0.14*E83^(-0.64),IF(E83&lt;=20,0.04*E83^(-0.1),IF(E83&lt;=150,0.013*E83^(0.29),0.055))))</f>
        <v>0.0466604979850016</v>
      </c>
    </row>
    <row r="84" customFormat="false" ht="15" hidden="false" customHeight="true" outlineLevel="0" collapsed="false">
      <c r="A84" s="20" t="n">
        <v>0.0042</v>
      </c>
      <c r="B84" s="21" t="n">
        <f aca="false">(A84^3*($J$2-$J$3)*$J$4/($J$3*$J$5^2))^(1/3)</f>
        <v>88.4700653512717</v>
      </c>
      <c r="C84" s="21" t="n">
        <f aca="false">0.13*(B84^(-0.392))*EXP(-0.015*(B84^2))+0.045*(1-EXP(-0.068*B84))</f>
        <v>0.0448902227486653</v>
      </c>
      <c r="D84" s="21" t="n">
        <f aca="false">(B84^3*C84)^0.5</f>
        <v>176.307343720114</v>
      </c>
      <c r="E84" s="22" t="n">
        <v>83</v>
      </c>
      <c r="F84" s="23" t="n">
        <f aca="false">IF(E84&lt;=4,0.24*E84^(-1),IF(E84&lt;=10,0.14*E84^(-0.64),IF(E84&lt;=20,0.04*E84^(-0.1),IF(E84&lt;=150,0.013*E84^(0.29),0.055))))</f>
        <v>0.0468248073338954</v>
      </c>
    </row>
    <row r="85" customFormat="false" ht="15" hidden="false" customHeight="true" outlineLevel="0" collapsed="false">
      <c r="A85" s="20" t="n">
        <v>0.00425</v>
      </c>
      <c r="B85" s="21" t="n">
        <f aca="false">(A85^3*($J$2-$J$3)*$J$4/($J$3*$J$5^2))^(1/3)</f>
        <v>89.5232804149773</v>
      </c>
      <c r="C85" s="21" t="n">
        <f aca="false">0.13*(B85^(-0.392))*EXP(-0.015*(B85^2))+0.045*(1-EXP(-0.068*B85))</f>
        <v>0.0448978099105929</v>
      </c>
      <c r="D85" s="21" t="n">
        <f aca="false">(B85^3*C85)^0.5</f>
        <v>179.480206293404</v>
      </c>
      <c r="E85" s="22" t="n">
        <v>84</v>
      </c>
      <c r="F85" s="23" t="n">
        <f aca="false">IF(E85&lt;=4,0.24*E85^(-1),IF(E85&lt;=10,0.14*E85^(-0.64),IF(E85&lt;=20,0.04*E85^(-0.1),IF(E85&lt;=150,0.013*E85^(0.29),0.055))))</f>
        <v>0.0469877170938312</v>
      </c>
    </row>
    <row r="86" customFormat="false" ht="15" hidden="false" customHeight="true" outlineLevel="0" collapsed="false">
      <c r="A86" s="20" t="n">
        <v>0.0043</v>
      </c>
      <c r="B86" s="21" t="n">
        <f aca="false">(A86^3*($J$2-$J$3)*$J$4/($J$3*$J$5^2))^(1/3)</f>
        <v>90.5764954786829</v>
      </c>
      <c r="C86" s="21" t="n">
        <f aca="false">0.13*(B86^(-0.392))*EXP(-0.015*(B86^2))+0.045*(1-EXP(-0.068*B86))</f>
        <v>0.0449048726922376</v>
      </c>
      <c r="D86" s="21" t="n">
        <f aca="false">(B86^3*C86)^0.5</f>
        <v>182.671167564362</v>
      </c>
      <c r="E86" s="22" t="n">
        <v>85</v>
      </c>
      <c r="F86" s="23" t="n">
        <f aca="false">IF(E86&lt;=4,0.24*E86^(-1),IF(E86&lt;=10,0.14*E86^(-0.64),IF(E86&lt;=20,0.04*E86^(-0.1),IF(E86&lt;=150,0.013*E86^(0.29),0.055))))</f>
        <v>0.0471492556377107</v>
      </c>
    </row>
    <row r="87" customFormat="false" ht="15" hidden="false" customHeight="true" outlineLevel="0" collapsed="false">
      <c r="A87" s="20" t="n">
        <v>0.00435</v>
      </c>
      <c r="B87" s="21" t="n">
        <f aca="false">(A87^3*($J$2-$J$3)*$J$4/($J$3*$J$5^2))^(1/3)</f>
        <v>91.6297105423886</v>
      </c>
      <c r="C87" s="21" t="n">
        <f aca="false">0.13*(B87^(-0.392))*EXP(-0.015*(B87^2))+0.045*(1-EXP(-0.068*B87))</f>
        <v>0.0449114473356993</v>
      </c>
      <c r="D87" s="21" t="n">
        <f aca="false">(B87^3*C87)^0.5</f>
        <v>185.880142811897</v>
      </c>
      <c r="E87" s="22" t="n">
        <v>86</v>
      </c>
      <c r="F87" s="23" t="n">
        <f aca="false">IF(E87&lt;=4,0.24*E87^(-1),IF(E87&lt;=10,0.14*E87^(-0.64),IF(E87&lt;=20,0.04*E87^(-0.1),IF(E87&lt;=150,0.013*E87^(0.29),0.055))))</f>
        <v>0.0473094504375527</v>
      </c>
    </row>
    <row r="88" customFormat="false" ht="15" hidden="false" customHeight="true" outlineLevel="0" collapsed="false">
      <c r="A88" s="20" t="n">
        <v>0.0044</v>
      </c>
      <c r="B88" s="21" t="n">
        <f aca="false">(A88^3*($J$2-$J$3)*$J$4/($J$3*$J$5^2))^(1/3)</f>
        <v>92.6829256060942</v>
      </c>
      <c r="C88" s="21" t="n">
        <f aca="false">0.13*(B88^(-0.392))*EXP(-0.015*(B88^2))+0.045*(1-EXP(-0.068*B88))</f>
        <v>0.0449175675782359</v>
      </c>
      <c r="D88" s="21" t="n">
        <f aca="false">(B88^3*C88)^0.5</f>
        <v>189.107048403427</v>
      </c>
      <c r="E88" s="22" t="n">
        <v>87</v>
      </c>
      <c r="F88" s="23" t="n">
        <f aca="false">IF(E88&lt;=4,0.24*E88^(-1),IF(E88&lt;=10,0.14*E88^(-0.64),IF(E88&lt;=20,0.04*E88^(-0.1),IF(E88&lt;=150,0.013*E88^(0.29),0.055))))</f>
        <v>0.0474683281032002</v>
      </c>
    </row>
    <row r="89" customFormat="false" ht="15" hidden="false" customHeight="true" outlineLevel="0" collapsed="false">
      <c r="A89" s="20" t="n">
        <v>0.00445</v>
      </c>
      <c r="B89" s="21" t="n">
        <f aca="false">(A89^3*($J$2-$J$3)*$J$4/($J$3*$J$5^2))^(1/3)</f>
        <v>93.7361406697998</v>
      </c>
      <c r="C89" s="21" t="n">
        <f aca="false">0.13*(B89^(-0.392))*EXP(-0.015*(B89^2))+0.045*(1-EXP(-0.068*B89))</f>
        <v>0.0449232648253832</v>
      </c>
      <c r="D89" s="21" t="n">
        <f aca="false">(B89^3*C89)^0.5</f>
        <v>192.351801744744</v>
      </c>
      <c r="E89" s="22" t="n">
        <v>88</v>
      </c>
      <c r="F89" s="23" t="n">
        <f aca="false">IF(E89&lt;=4,0.24*E89^(-1),IF(E89&lt;=10,0.14*E89^(-0.64),IF(E89&lt;=20,0.04*E89^(-0.1),IF(E89&lt;=150,0.013*E89^(0.29),0.055))))</f>
        <v>0.0476259144189394</v>
      </c>
    </row>
    <row r="90" customFormat="false" ht="15" hidden="false" customHeight="true" outlineLevel="0" collapsed="false">
      <c r="A90" s="20" t="n">
        <v>0.0045</v>
      </c>
      <c r="B90" s="21" t="n">
        <f aca="false">(A90^3*($J$2-$J$3)*$J$4/($J$3*$J$5^2))^(1/3)</f>
        <v>94.7893557335054</v>
      </c>
      <c r="C90" s="21" t="n">
        <f aca="false">0.13*(B90^(-0.392))*EXP(-0.015*(B90^2))+0.045*(1-EXP(-0.068*B90))</f>
        <v>0.0449285683121101</v>
      </c>
      <c r="D90" s="21" t="n">
        <f aca="false">(B90^3*C90)^0.5</f>
        <v>195.614321234612</v>
      </c>
      <c r="E90" s="22" t="n">
        <v>89</v>
      </c>
      <c r="F90" s="23" t="n">
        <f aca="false">IF(E90&lt;=4,0.24*E90^(-1),IF(E90&lt;=10,0.14*E90^(-0.64),IF(E90&lt;=20,0.04*E90^(-0.1),IF(E90&lt;=150,0.013*E90^(0.29),0.055))))</f>
        <v>0.0477822343781668</v>
      </c>
    </row>
    <row r="91" customFormat="false" ht="15" hidden="false" customHeight="true" outlineLevel="0" collapsed="false">
      <c r="A91" s="20" t="n">
        <v>0.00455</v>
      </c>
      <c r="B91" s="21" t="n">
        <f aca="false">(A91^3*($J$2-$J$3)*$J$4/($J$3*$J$5^2))^(1/3)</f>
        <v>95.842570797211</v>
      </c>
      <c r="C91" s="21" t="n">
        <f aca="false">0.13*(B91^(-0.392))*EXP(-0.015*(B91^2))+0.045*(1-EXP(-0.068*B91))</f>
        <v>0.044933505252835</v>
      </c>
      <c r="D91" s="21" t="n">
        <f aca="false">(B91^3*C91)^0.5</f>
        <v>198.894526223673</v>
      </c>
      <c r="E91" s="22" t="n">
        <v>90</v>
      </c>
      <c r="F91" s="23" t="n">
        <f aca="false">IF(E91&lt;=4,0.24*E91^(-1),IF(E91&lt;=10,0.14*E91^(-0.64),IF(E91&lt;=20,0.04*E91^(-0.1),IF(E91&lt;=150,0.013*E91^(0.29),0.055))))</f>
        <v>0.0479373122162294</v>
      </c>
    </row>
    <row r="92" customFormat="false" ht="15" hidden="false" customHeight="true" outlineLevel="0" collapsed="false">
      <c r="A92" s="20" t="n">
        <v>0.0046</v>
      </c>
      <c r="B92" s="21" t="n">
        <f aca="false">(A92^3*($J$2-$J$3)*$J$4/($J$3*$J$5^2))^(1/3)</f>
        <v>96.8957858609166</v>
      </c>
      <c r="C92" s="21" t="n">
        <f aca="false">0.13*(B92^(-0.392))*EXP(-0.015*(B92^2))+0.045*(1-EXP(-0.068*B92))</f>
        <v>0.0449381009810751</v>
      </c>
      <c r="D92" s="21" t="n">
        <f aca="false">(B92^3*C92)^0.5</f>
        <v>202.192336977253</v>
      </c>
      <c r="E92" s="22" t="n">
        <v>91</v>
      </c>
      <c r="F92" s="23" t="n">
        <f aca="false">IF(E92&lt;=4,0.24*E92^(-1),IF(E92&lt;=10,0.14*E92^(-0.64),IF(E92&lt;=20,0.04*E92^(-0.1),IF(E92&lt;=150,0.013*E92^(0.29),0.055))))</f>
        <v>0.048091171441552</v>
      </c>
    </row>
    <row r="93" customFormat="false" ht="15" hidden="false" customHeight="true" outlineLevel="0" collapsed="false">
      <c r="A93" s="20" t="n">
        <v>0.00465</v>
      </c>
      <c r="B93" s="21" t="n">
        <f aca="false">(A93^3*($J$2-$J$3)*$J$4/($J$3*$J$5^2))^(1/3)</f>
        <v>97.9490009246223</v>
      </c>
      <c r="C93" s="21" t="n">
        <f aca="false">0.13*(B93^(-0.392))*EXP(-0.015*(B93^2))+0.045*(1-EXP(-0.068*B93))</f>
        <v>0.0449423790794427</v>
      </c>
      <c r="D93" s="21" t="n">
        <f aca="false">(B93^3*C93)^0.5</f>
        <v>205.507674641717</v>
      </c>
      <c r="E93" s="22" t="n">
        <v>92</v>
      </c>
      <c r="F93" s="23" t="n">
        <f aca="false">IF(E93&lt;=4,0.24*E93^(-1),IF(E93&lt;=10,0.14*E93^(-0.64),IF(E93&lt;=20,0.04*E93^(-0.1),IF(E93&lt;=150,0.013*E93^(0.29),0.055))))</f>
        <v>0.0482438348651599</v>
      </c>
    </row>
    <row r="94" customFormat="false" ht="15" hidden="false" customHeight="true" outlineLevel="0" collapsed="false">
      <c r="A94" s="20" t="n">
        <v>0.0047</v>
      </c>
      <c r="B94" s="21" t="n">
        <f aca="false">(A94^3*($J$2-$J$3)*$J$4/($J$3*$J$5^2))^(1/3)</f>
        <v>99.0022159883279</v>
      </c>
      <c r="C94" s="21" t="n">
        <f aca="false">0.13*(B94^(-0.392))*EXP(-0.015*(B94^2))+0.045*(1-EXP(-0.068*B94))</f>
        <v>0.0449463615006582</v>
      </c>
      <c r="D94" s="21" t="n">
        <f aca="false">(B94^3*C94)^0.5</f>
        <v>208.840461214028</v>
      </c>
      <c r="E94" s="22" t="n">
        <v>93</v>
      </c>
      <c r="F94" s="23" t="n">
        <f aca="false">IF(E94&lt;=4,0.24*E94^(-1),IF(E94&lt;=10,0.14*E94^(-0.64),IF(E94&lt;=20,0.04*E94^(-0.1),IF(E94&lt;=150,0.013*E94^(0.29),0.055))))</f>
        <v>0.048395324628696</v>
      </c>
    </row>
    <row r="95" customFormat="false" ht="15" hidden="false" customHeight="true" outlineLevel="0" collapsed="false">
      <c r="A95" s="20" t="n">
        <v>0.00475</v>
      </c>
      <c r="B95" s="21" t="n">
        <f aca="false">(A95^3*($J$2-$J$3)*$J$4/($J$3*$J$5^2))^(1/3)</f>
        <v>100.055431052034</v>
      </c>
      <c r="C95" s="21" t="n">
        <f aca="false">0.13*(B95^(-0.392))*EXP(-0.015*(B95^2))+0.045*(1-EXP(-0.068*B95))</f>
        <v>0.0449500686801978</v>
      </c>
      <c r="D95" s="21" t="n">
        <f aca="false">(B95^3*C95)^0.5</f>
        <v>212.190619514214</v>
      </c>
      <c r="E95" s="22" t="n">
        <v>94</v>
      </c>
      <c r="F95" s="23" t="n">
        <f aca="false">IF(E95&lt;=4,0.24*E95^(-1),IF(E95&lt;=10,0.14*E95^(-0.64),IF(E95&lt;=20,0.04*E95^(-0.1),IF(E95&lt;=150,0.013*E95^(0.29),0.055))))</f>
        <v>0.0485456622310242</v>
      </c>
    </row>
    <row r="96" customFormat="false" ht="15" hidden="false" customHeight="true" outlineLevel="0" collapsed="false">
      <c r="A96" s="20" t="n">
        <v>0.0048</v>
      </c>
      <c r="B96" s="21" t="n">
        <f aca="false">(A96^3*($J$2-$J$3)*$J$4/($J$3*$J$5^2))^(1/3)</f>
        <v>101.108646115739</v>
      </c>
      <c r="C96" s="21" t="n">
        <f aca="false">0.13*(B96^(-0.392))*EXP(-0.015*(B96^2))+0.045*(1-EXP(-0.068*B96))</f>
        <v>0.0449535196411573</v>
      </c>
      <c r="D96" s="21" t="n">
        <f aca="false">(B96^3*C96)^0.5</f>
        <v>215.558073160456</v>
      </c>
      <c r="E96" s="22" t="n">
        <v>95</v>
      </c>
      <c r="F96" s="23" t="n">
        <f aca="false">IF(E96&lt;=4,0.24*E96^(-1),IF(E96&lt;=10,0.14*E96^(-0.64),IF(E96&lt;=20,0.04*E96^(-0.1),IF(E96&lt;=150,0.013*E96^(0.29),0.055))))</f>
        <v>0.0486948685535046</v>
      </c>
    </row>
    <row r="97" customFormat="false" ht="15" hidden="false" customHeight="true" outlineLevel="0" collapsed="false">
      <c r="A97" s="20" t="n">
        <v>0.00485</v>
      </c>
      <c r="B97" s="21" t="n">
        <f aca="false">(A97^3*($J$2-$J$3)*$J$4/($J$3*$J$5^2))^(1/3)</f>
        <v>102.161861179445</v>
      </c>
      <c r="C97" s="21" t="n">
        <f aca="false">0.13*(B97^(-0.392))*EXP(-0.015*(B97^2))+0.045*(1-EXP(-0.068*B97))</f>
        <v>0.0449567320918673</v>
      </c>
      <c r="D97" s="21" t="n">
        <f aca="false">(B97^3*C97)^0.5</f>
        <v>218.942746546533</v>
      </c>
      <c r="E97" s="22" t="n">
        <v>96</v>
      </c>
      <c r="F97" s="23" t="n">
        <f aca="false">IF(E97&lt;=4,0.24*E97^(-1),IF(E97&lt;=10,0.14*E97^(-0.64),IF(E97&lt;=20,0.04*E97^(-0.1),IF(E97&lt;=150,0.013*E97^(0.29),0.055))))</f>
        <v>0.0488429638840203</v>
      </c>
    </row>
    <row r="98" customFormat="false" ht="15" hidden="false" customHeight="true" outlineLevel="0" collapsed="false">
      <c r="A98" s="20" t="n">
        <v>0.0049</v>
      </c>
      <c r="B98" s="21" t="n">
        <f aca="false">(A98^3*($J$2-$J$3)*$J$4/($J$3*$J$5^2))^(1/3)</f>
        <v>103.21507624315</v>
      </c>
      <c r="C98" s="21" t="n">
        <f aca="false">0.13*(B98^(-0.392))*EXP(-0.015*(B98^2))+0.045*(1-EXP(-0.068*B98))</f>
        <v>0.0449597225167621</v>
      </c>
      <c r="D98" s="21" t="n">
        <f aca="false">(B98^3*C98)^0.5</f>
        <v>222.344564821408</v>
      </c>
      <c r="E98" s="22" t="n">
        <v>97</v>
      </c>
      <c r="F98" s="23" t="n">
        <f aca="false">IF(E98&lt;=4,0.24*E98^(-1),IF(E98&lt;=10,0.14*E98^(-0.64),IF(E98&lt;=20,0.04*E98^(-0.1),IF(E98&lt;=150,0.013*E98^(0.29),0.055))))</f>
        <v>0.0489899679398294</v>
      </c>
    </row>
    <row r="99" customFormat="false" ht="15" hidden="false" customHeight="true" outlineLevel="0" collapsed="false">
      <c r="A99" s="20" t="n">
        <v>0.00495</v>
      </c>
      <c r="B99" s="21" t="n">
        <f aca="false">(A99^3*($J$2-$J$3)*$J$4/($J$3*$J$5^2))^(1/3)</f>
        <v>104.268291306856</v>
      </c>
      <c r="C99" s="21" t="n">
        <f aca="false">0.13*(B99^(-0.392))*EXP(-0.015*(B99^2))+0.045*(1-EXP(-0.068*B99))</f>
        <v>0.0449625062609682</v>
      </c>
      <c r="D99" s="21" t="n">
        <f aca="false">(B99^3*C99)^0.5</f>
        <v>225.763453870718</v>
      </c>
      <c r="E99" s="22" t="n">
        <v>98</v>
      </c>
      <c r="F99" s="23" t="n">
        <f aca="false">IF(E99&lt;=4,0.24*E99^(-1),IF(E99&lt;=10,0.14*E99^(-0.64),IF(E99&lt;=20,0.04*E99^(-0.1),IF(E99&lt;=150,0.013*E99^(0.29),0.055))))</f>
        <v>0.0491358998893118</v>
      </c>
    </row>
    <row r="100" customFormat="false" ht="15" hidden="false" customHeight="true" outlineLevel="0" collapsed="false">
      <c r="A100" s="20" t="n">
        <v>0.005</v>
      </c>
      <c r="B100" s="21" t="n">
        <f aca="false">(A100^3*($J$2-$J$3)*$J$4/($J$3*$J$5^2))^(1/3)</f>
        <v>105.321506370562</v>
      </c>
      <c r="C100" s="21" t="n">
        <f aca="false">0.13*(B100^(-0.392))*EXP(-0.015*(B100^2))+0.045*(1-EXP(-0.068*B100))</f>
        <v>0.0449650976090466</v>
      </c>
      <c r="D100" s="21" t="n">
        <f aca="false">(B100^3*C100)^0.5</f>
        <v>229.199340299984</v>
      </c>
      <c r="E100" s="22" t="n">
        <v>99</v>
      </c>
      <c r="F100" s="23" t="n">
        <f aca="false">IF(E100&lt;=4,0.24*E100^(-1),IF(E100&lt;=10,0.14*E100^(-0.64),IF(E100&lt;=20,0.04*E100^(-0.1),IF(E100&lt;=150,0.013*E100^(0.29),0.055))))</f>
        <v>0.049280778372674</v>
      </c>
    </row>
    <row r="101" customFormat="false" ht="15" hidden="false" customHeight="true" outlineLevel="0" collapsed="false">
      <c r="A101" s="20" t="n">
        <v>0.00505</v>
      </c>
      <c r="B101" s="21" t="n">
        <f aca="false">(A101^3*($J$2-$J$3)*$J$4/($J$3*$J$5^2))^(1/3)</f>
        <v>106.374721434267</v>
      </c>
      <c r="C101" s="21" t="n">
        <f aca="false">0.13*(B101^(-0.392))*EXP(-0.015*(B101^2))+0.045*(1-EXP(-0.068*B101))</f>
        <v>0.0449675098582932</v>
      </c>
      <c r="D101" s="21" t="n">
        <f aca="false">(B101^3*C101)^0.5</f>
        <v>232.652151419358</v>
      </c>
      <c r="E101" s="22" t="n">
        <v>100</v>
      </c>
      <c r="F101" s="23" t="n">
        <f aca="false">IF(E101&lt;=4,0.24*E101^(-1),IF(E101&lt;=10,0.14*E101^(-0.64),IF(E101&lt;=20,0.04*E101^(-0.1),IF(E101&lt;=150,0.013*E101^(0.29),0.055))))</f>
        <v>0.049424621521673</v>
      </c>
    </row>
    <row r="102" customFormat="false" ht="15" hidden="false" customHeight="true" outlineLevel="0" collapsed="false">
      <c r="A102" s="20" t="n">
        <v>0.0051</v>
      </c>
      <c r="B102" s="21" t="n">
        <f aca="false">(A102^3*($J$2-$J$3)*$J$4/($J$3*$J$5^2))^(1/3)</f>
        <v>107.427936497973</v>
      </c>
      <c r="C102" s="21" t="n">
        <f aca="false">0.13*(B102^(-0.392))*EXP(-0.015*(B102^2))+0.045*(1-EXP(-0.068*B102))</f>
        <v>0.0449697553869723</v>
      </c>
      <c r="D102" s="21" t="n">
        <f aca="false">(B102^3*C102)^0.5</f>
        <v>236.12181522975</v>
      </c>
      <c r="E102" s="22" t="n">
        <v>101</v>
      </c>
      <c r="F102" s="23" t="n">
        <f aca="false">IF(E102&lt;=4,0.24*E102^(-1),IF(E102&lt;=10,0.14*E102^(-0.64),IF(E102&lt;=20,0.04*E102^(-0.1),IF(E102&lt;=150,0.013*E102^(0.29),0.055))))</f>
        <v>0.0495674469784132</v>
      </c>
    </row>
    <row r="103" customFormat="false" ht="15" hidden="false" customHeight="true" outlineLevel="0" collapsed="false">
      <c r="A103" s="20" t="n">
        <v>0.00515</v>
      </c>
      <c r="B103" s="21" t="n">
        <f aca="false">(A103^3*($J$2-$J$3)*$J$4/($J$3*$J$5^2))^(1/3)</f>
        <v>108.481151561678</v>
      </c>
      <c r="C103" s="21" t="n">
        <f aca="false">0.13*(B103^(-0.392))*EXP(-0.015*(B103^2))+0.045*(1-EXP(-0.068*B103))</f>
        <v>0.0449718457178349</v>
      </c>
      <c r="D103" s="21" t="n">
        <f aca="false">(B103^3*C103)^0.5</f>
        <v>239.60826041017</v>
      </c>
      <c r="E103" s="22" t="n">
        <v>102</v>
      </c>
      <c r="F103" s="23" t="n">
        <f aca="false">IF(E103&lt;=4,0.24*E103^(-1),IF(E103&lt;=10,0.14*E103^(-0.64),IF(E103&lt;=20,0.04*E103^(-0.1),IF(E103&lt;=150,0.013*E103^(0.29),0.055))))</f>
        <v>0.0497092719132716</v>
      </c>
    </row>
    <row r="104" customFormat="false" ht="15" hidden="false" customHeight="true" outlineLevel="0" collapsed="false">
      <c r="A104" s="20" t="n">
        <v>0.0052</v>
      </c>
      <c r="B104" s="21" t="n">
        <f aca="false">(A104^3*($J$2-$J$3)*$J$4/($J$3*$J$5^2))^(1/3)</f>
        <v>109.534366625384</v>
      </c>
      <c r="C104" s="21" t="n">
        <f aca="false">0.13*(B104^(-0.392))*EXP(-0.015*(B104^2))+0.045*(1-EXP(-0.068*B104))</f>
        <v>0.044973791577247</v>
      </c>
      <c r="D104" s="21" t="n">
        <f aca="false">(B104^3*C104)^0.5</f>
        <v>243.111416306175</v>
      </c>
      <c r="E104" s="22" t="n">
        <v>103</v>
      </c>
      <c r="F104" s="23" t="n">
        <f aca="false">IF(E104&lt;=4,0.24*E104^(-1),IF(E104&lt;=10,0.14*E104^(-0.64),IF(E104&lt;=20,0.04*E104^(-0.1),IF(E104&lt;=150,0.013*E104^(0.29),0.055))))</f>
        <v>0.0498501130419963</v>
      </c>
    </row>
    <row r="105" customFormat="false" ht="15" hidden="false" customHeight="true" outlineLevel="0" collapsed="false">
      <c r="A105" s="20" t="n">
        <v>0.00525</v>
      </c>
      <c r="B105" s="21" t="n">
        <f aca="false">(A105^3*($J$2-$J$3)*$J$4/($J$3*$J$5^2))^(1/3)</f>
        <v>110.58758168909</v>
      </c>
      <c r="C105" s="21" t="n">
        <f aca="false">0.13*(B105^(-0.392))*EXP(-0.015*(B105^2))+0.045*(1-EXP(-0.068*B105))</f>
        <v>0.0449756029502307</v>
      </c>
      <c r="D105" s="21" t="n">
        <f aca="false">(B105^3*C105)^0.5</f>
        <v>246.631212919275</v>
      </c>
      <c r="E105" s="22" t="n">
        <v>104</v>
      </c>
      <c r="F105" s="23" t="n">
        <f aca="false">IF(E105&lt;=4,0.24*E105^(-1),IF(E105&lt;=10,0.14*E105^(-0.64),IF(E105&lt;=20,0.04*E105^(-0.1),IF(E105&lt;=150,0.013*E105^(0.29),0.055))))</f>
        <v>0.0499899866420267</v>
      </c>
    </row>
    <row r="106" customFormat="false" ht="15" hidden="false" customHeight="true" outlineLevel="0" collapsed="false">
      <c r="A106" s="20" t="n">
        <v>0.0053</v>
      </c>
      <c r="B106" s="21" t="n">
        <f aca="false">(A106^3*($J$2-$J$3)*$J$4/($J$3*$J$5^2))^(1/3)</f>
        <v>111.640796752795</v>
      </c>
      <c r="C106" s="21" t="n">
        <f aca="false">0.13*(B106^(-0.392))*EXP(-0.015*(B106^2))+0.045*(1-EXP(-0.068*B106))</f>
        <v>0.0449772891317019</v>
      </c>
      <c r="D106" s="21" t="n">
        <f aca="false">(B106^3*C106)^0.5</f>
        <v>250.167580897197</v>
      </c>
      <c r="E106" s="22" t="n">
        <v>105</v>
      </c>
      <c r="F106" s="23" t="n">
        <f aca="false">IF(E106&lt;=4,0.24*E106^(-1),IF(E106&lt;=10,0.14*E106^(-0.64),IF(E106&lt;=20,0.04*E106^(-0.1),IF(E106&lt;=150,0.013*E106^(0.29),0.055))))</f>
        <v>0.050128908568077</v>
      </c>
    </row>
    <row r="107" customFormat="false" ht="15" hidden="false" customHeight="true" outlineLevel="0" collapsed="false">
      <c r="A107" s="20" t="n">
        <v>0.00535</v>
      </c>
      <c r="B107" s="21" t="n">
        <f aca="false">(A107^3*($J$2-$J$3)*$J$4/($J$3*$J$5^2))^(1/3)</f>
        <v>112.694011816501</v>
      </c>
      <c r="C107" s="21" t="n">
        <f aca="false">0.13*(B107^(-0.392))*EXP(-0.015*(B107^2))+0.045*(1-EXP(-0.068*B107))</f>
        <v>0.044978858774166</v>
      </c>
      <c r="D107" s="21" t="n">
        <f aca="false">(B107^3*C107)^0.5</f>
        <v>253.720451524915</v>
      </c>
      <c r="E107" s="22" t="n">
        <v>106</v>
      </c>
      <c r="F107" s="23" t="n">
        <f aca="false">IF(E107&lt;=4,0.24*E107^(-1),IF(E107&lt;=10,0.14*E107^(-0.64),IF(E107&lt;=20,0.04*E107^(-0.1),IF(E107&lt;=150,0.013*E107^(0.29),0.055))))</f>
        <v>0.0502668942670227</v>
      </c>
    </row>
    <row r="108" customFormat="false" ht="15" hidden="false" customHeight="true" outlineLevel="0" collapsed="false">
      <c r="A108" s="20" t="n">
        <v>0.0054</v>
      </c>
      <c r="B108" s="21" t="n">
        <f aca="false">(A108^3*($J$2-$J$3)*$J$4/($J$3*$J$5^2))^(1/3)</f>
        <v>113.747226880206</v>
      </c>
      <c r="C108" s="21" t="n">
        <f aca="false">0.13*(B108^(-0.392))*EXP(-0.015*(B108^2))+0.045*(1-EXP(-0.068*B108))</f>
        <v>0.0449803199321182</v>
      </c>
      <c r="D108" s="21" t="n">
        <f aca="false">(B108^3*C108)^0.5</f>
        <v>257.28975671634</v>
      </c>
      <c r="E108" s="22" t="n">
        <v>107</v>
      </c>
      <c r="F108" s="23" t="n">
        <f aca="false">IF(E108&lt;=4,0.24*E108^(-1),IF(E108&lt;=10,0.14*E108^(-0.64),IF(E108&lt;=20,0.04*E108^(-0.1),IF(E108&lt;=150,0.013*E108^(0.29),0.055))))</f>
        <v>0.050403958792128</v>
      </c>
    </row>
    <row r="109" customFormat="false" ht="15" hidden="false" customHeight="true" outlineLevel="0" collapsed="false">
      <c r="A109" s="20" t="n">
        <v>0.00545</v>
      </c>
      <c r="B109" s="21" t="n">
        <f aca="false">(A109^3*($J$2-$J$3)*$J$4/($J$3*$J$5^2))^(1/3)</f>
        <v>114.800441943912</v>
      </c>
      <c r="C109" s="21" t="n">
        <f aca="false">0.13*(B109^(-0.392))*EXP(-0.015*(B109^2))+0.045*(1-EXP(-0.068*B109))</f>
        <v>0.0449816801033736</v>
      </c>
      <c r="D109" s="21" t="n">
        <f aca="false">(B109^3*C109)^0.5</f>
        <v>260.875429006596</v>
      </c>
      <c r="E109" s="22" t="n">
        <v>108</v>
      </c>
      <c r="F109" s="23" t="n">
        <f aca="false">IF(E109&lt;=4,0.24*E109^(-1),IF(E109&lt;=10,0.14*E109^(-0.64),IF(E109&lt;=20,0.04*E109^(-0.1),IF(E109&lt;=150,0.013*E109^(0.29),0.055))))</f>
        <v>0.0505401168166491</v>
      </c>
    </row>
    <row r="110" customFormat="false" ht="15" hidden="false" customHeight="true" outlineLevel="0" collapsed="false">
      <c r="A110" s="20" t="n">
        <v>0.0055</v>
      </c>
      <c r="B110" s="21" t="n">
        <f aca="false">(A110^3*($J$2-$J$3)*$J$4/($J$3*$J$5^2))^(1/3)</f>
        <v>115.853657007618</v>
      </c>
      <c r="C110" s="21" t="n">
        <f aca="false">0.13*(B110^(-0.392))*EXP(-0.015*(B110^2))+0.045*(1-EXP(-0.068*B110))</f>
        <v>0.0449829462675425</v>
      </c>
      <c r="D110" s="21" t="n">
        <f aca="false">(B110^3*C110)^0.5</f>
        <v>264.47740154481</v>
      </c>
      <c r="E110" s="22" t="n">
        <v>109</v>
      </c>
      <c r="F110" s="23" t="n">
        <f aca="false">IF(E110&lt;=4,0.24*E110^(-1),IF(E110&lt;=10,0.14*E110^(-0.64),IF(E110&lt;=20,0.04*E110^(-0.1),IF(E110&lt;=150,0.013*E110^(0.29),0.055))))</f>
        <v>0.0506753826468456</v>
      </c>
    </row>
    <row r="111" customFormat="false" ht="15" hidden="false" customHeight="true" outlineLevel="0" collapsed="false">
      <c r="A111" s="20" t="n">
        <v>0.00555</v>
      </c>
      <c r="B111" s="21" t="n">
        <f aca="false">(A111^3*($J$2-$J$3)*$J$4/($J$3*$J$5^2))^(1/3)</f>
        <v>116.906872071323</v>
      </c>
      <c r="C111" s="21" t="n">
        <f aca="false">0.13*(B111^(-0.392))*EXP(-0.015*(B111^2))+0.045*(1-EXP(-0.068*B111))</f>
        <v>0.0449841249218452</v>
      </c>
      <c r="D111" s="21" t="n">
        <f aca="false">(B111^3*C111)^0.5</f>
        <v>268.095608087344</v>
      </c>
      <c r="E111" s="22" t="n">
        <v>110</v>
      </c>
      <c r="F111" s="23" t="n">
        <f aca="false">IF(E111&lt;=4,0.24*E111^(-1),IF(E111&lt;=10,0.14*E111^(-0.64),IF(E111&lt;=20,0.04*E111^(-0.1),IF(E111&lt;=150,0.013*E111^(0.29),0.055))))</f>
        <v>0.0508097702344323</v>
      </c>
    </row>
    <row r="112" customFormat="false" ht="15" hidden="false" customHeight="true" outlineLevel="0" collapsed="false">
      <c r="A112" s="20" t="n">
        <v>0.0056</v>
      </c>
      <c r="B112" s="21" t="n">
        <f aca="false">(A112^3*($J$2-$J$3)*$J$4/($J$3*$J$5^2))^(1/3)</f>
        <v>117.960087135029</v>
      </c>
      <c r="C112" s="21" t="n">
        <f aca="false">0.13*(B112^(-0.392))*EXP(-0.015*(B112^2))+0.045*(1-EXP(-0.068*B112))</f>
        <v>0.0449852221144521</v>
      </c>
      <c r="D112" s="21" t="n">
        <f aca="false">(B112^3*C112)^0.5</f>
        <v>271.729982991422</v>
      </c>
      <c r="E112" s="22" t="n">
        <v>111</v>
      </c>
      <c r="F112" s="23" t="n">
        <f aca="false">IF(E112&lt;=4,0.24*E112^(-1),IF(E112&lt;=10,0.14*E112^(-0.64),IF(E112&lt;=20,0.04*E112^(-0.1),IF(E112&lt;=150,0.013*E112^(0.29),0.055))))</f>
        <v>0.0509432931884985</v>
      </c>
    </row>
    <row r="113" customFormat="false" ht="15" hidden="false" customHeight="true" outlineLevel="0" collapsed="false">
      <c r="A113" s="20" t="n">
        <v>0.00565</v>
      </c>
      <c r="B113" s="21" t="n">
        <f aca="false">(A113^3*($J$2-$J$3)*$J$4/($J$3*$J$5^2))^(1/3)</f>
        <v>119.013302198735</v>
      </c>
      <c r="C113" s="21" t="n">
        <f aca="false">0.13*(B113^(-0.392))*EXP(-0.015*(B113^2))+0.045*(1-EXP(-0.068*B113))</f>
        <v>0.0449862434755196</v>
      </c>
      <c r="D113" s="21" t="n">
        <f aca="false">(B113^3*C113)^0.5</f>
        <v>275.380461209079</v>
      </c>
      <c r="E113" s="22" t="n">
        <v>112</v>
      </c>
      <c r="F113" s="23" t="n">
        <f aca="false">IF(E113&lt;=4,0.24*E113^(-1),IF(E113&lt;=10,0.14*E113^(-0.64),IF(E113&lt;=20,0.04*E113^(-0.1),IF(E113&lt;=150,0.013*E113^(0.29),0.055))))</f>
        <v>0.0510759647869245</v>
      </c>
    </row>
    <row r="114" customFormat="false" ht="15" hidden="false" customHeight="true" outlineLevel="0" collapsed="false">
      <c r="A114" s="20" t="n">
        <v>0.0057</v>
      </c>
      <c r="B114" s="21" t="n">
        <f aca="false">(A114^3*($J$2-$J$3)*$J$4/($J$3*$J$5^2))^(1/3)</f>
        <v>120.06651726244</v>
      </c>
      <c r="C114" s="21" t="n">
        <f aca="false">0.13*(B114^(-0.392))*EXP(-0.015*(B114^2))+0.045*(1-EXP(-0.068*B114))</f>
        <v>0.0449871942460802</v>
      </c>
      <c r="D114" s="21" t="n">
        <f aca="false">(B114^3*C114)^0.5</f>
        <v>279.046978281403</v>
      </c>
      <c r="E114" s="22" t="n">
        <v>113</v>
      </c>
      <c r="F114" s="23" t="n">
        <f aca="false">IF(E114&lt;=4,0.24*E114^(-1),IF(E114&lt;=10,0.14*E114^(-0.64),IF(E114&lt;=20,0.04*E114^(-0.1),IF(E114&lt;=150,0.013*E114^(0.29),0.055))))</f>
        <v>0.0512077979873176</v>
      </c>
    </row>
    <row r="115" customFormat="false" ht="15" hidden="false" customHeight="true" outlineLevel="0" collapsed="false">
      <c r="A115" s="20" t="n">
        <v>0.00575</v>
      </c>
      <c r="B115" s="21" t="n">
        <f aca="false">(A115^3*($J$2-$J$3)*$J$4/($J$3*$J$5^2))^(1/3)</f>
        <v>121.119732326146</v>
      </c>
      <c r="C115" s="21" t="n">
        <f aca="false">0.13*(B115^(-0.392))*EXP(-0.015*(B115^2))+0.045*(1-EXP(-0.068*B115))</f>
        <v>0.0449880793049372</v>
      </c>
      <c r="D115" s="21" t="n">
        <f aca="false">(B115^3*C115)^0.5</f>
        <v>282.729470333019</v>
      </c>
      <c r="E115" s="22" t="n">
        <v>114</v>
      </c>
      <c r="F115" s="23" t="n">
        <f aca="false">IF(E115&lt;=4,0.24*E115^(-1),IF(E115&lt;=10,0.14*E115^(-0.64),IF(E115&lt;=20,0.04*E115^(-0.1),IF(E115&lt;=150,0.013*E115^(0.29),0.055))))</f>
        <v>0.0513388054374958</v>
      </c>
    </row>
    <row r="116" customFormat="false" ht="15" hidden="false" customHeight="true" outlineLevel="0" collapsed="false">
      <c r="A116" s="20" t="n">
        <v>0.0058</v>
      </c>
      <c r="B116" s="21" t="n">
        <f aca="false">(A116^3*($J$2-$J$3)*$J$4/($J$3*$J$5^2))^(1/3)</f>
        <v>122.172947389851</v>
      </c>
      <c r="C116" s="21" t="n">
        <f aca="false">0.13*(B116^(-0.392))*EXP(-0.015*(B116^2))+0.045*(1-EXP(-0.068*B116))</f>
        <v>0.0449889031936995</v>
      </c>
      <c r="D116" s="21" t="n">
        <f aca="false">(B116^3*C116)^0.5</f>
        <v>286.427874066783</v>
      </c>
      <c r="E116" s="22" t="n">
        <v>115</v>
      </c>
      <c r="F116" s="23" t="n">
        <f aca="false">IF(E116&lt;=4,0.24*E116^(-1),IF(E116&lt;=10,0.14*E116^(-0.64),IF(E116&lt;=20,0.04*E116^(-0.1),IF(E116&lt;=150,0.013*E116^(0.29),0.055))))</f>
        <v>0.051468999485538</v>
      </c>
    </row>
    <row r="117" customFormat="false" ht="15" hidden="false" customHeight="true" outlineLevel="0" collapsed="false">
      <c r="A117" s="20" t="n">
        <v>0.00585</v>
      </c>
      <c r="B117" s="21" t="n">
        <f aca="false">(A117^3*($J$2-$J$3)*$J$4/($J$3*$J$5^2))^(1/3)</f>
        <v>123.226162453557</v>
      </c>
      <c r="C117" s="21" t="n">
        <f aca="false">0.13*(B117^(-0.392))*EXP(-0.015*(B117^2))+0.045*(1-EXP(-0.068*B117))</f>
        <v>0.0449896701400865</v>
      </c>
      <c r="D117" s="21" t="n">
        <f aca="false">(B117^3*C117)^0.5</f>
        <v>290.142126758641</v>
      </c>
      <c r="E117" s="22" t="n">
        <v>116</v>
      </c>
      <c r="F117" s="23" t="n">
        <f aca="false">IF(E117&lt;=4,0.24*E117^(-1),IF(E117&lt;=10,0.14*E117^(-0.64),IF(E117&lt;=20,0.04*E117^(-0.1),IF(E117&lt;=150,0.013*E117^(0.29),0.055))))</f>
        <v>0.0515983921894246</v>
      </c>
    </row>
    <row r="118" customFormat="false" ht="15" hidden="false" customHeight="true" outlineLevel="0" collapsed="false">
      <c r="A118" s="20" t="n">
        <v>0.0059</v>
      </c>
      <c r="B118" s="21" t="n">
        <f aca="false">(A118^3*($J$2-$J$3)*$J$4/($J$3*$J$5^2))^(1/3)</f>
        <v>124.279377517263</v>
      </c>
      <c r="C118" s="21" t="n">
        <f aca="false">0.13*(B118^(-0.392))*EXP(-0.015*(B118^2))+0.045*(1-EXP(-0.068*B118))</f>
        <v>0.0449903840796222</v>
      </c>
      <c r="D118" s="21" t="n">
        <f aca="false">(B118^3*C118)^0.5</f>
        <v>293.872166252641</v>
      </c>
      <c r="E118" s="22" t="n">
        <v>117</v>
      </c>
      <c r="F118" s="23" t="n">
        <f aca="false">IF(E118&lt;=4,0.24*E118^(-1),IF(E118&lt;=10,0.14*E118^(-0.64),IF(E118&lt;=20,0.04*E118^(-0.1),IF(E118&lt;=150,0.013*E118^(0.29),0.055))))</f>
        <v>0.0517269953262877</v>
      </c>
    </row>
    <row r="119" customFormat="false" ht="15" hidden="false" customHeight="true" outlineLevel="0" collapsed="false">
      <c r="A119" s="20" t="n">
        <v>0.00595</v>
      </c>
      <c r="B119" s="21" t="n">
        <f aca="false">(A119^3*($J$2-$J$3)*$J$4/($J$3*$J$5^2))^(1/3)</f>
        <v>125.332592580968</v>
      </c>
      <c r="C119" s="21" t="n">
        <f aca="false">0.13*(B119^(-0.392))*EXP(-0.015*(B119^2))+0.045*(1-EXP(-0.068*B119))</f>
        <v>0.0449910486758305</v>
      </c>
      <c r="D119" s="21" t="n">
        <f aca="false">(B119^3*C119)^0.5</f>
        <v>297.61793095606</v>
      </c>
      <c r="E119" s="22" t="n">
        <v>118</v>
      </c>
      <c r="F119" s="23" t="n">
        <f aca="false">IF(E119&lt;=4,0.24*E119^(-1),IF(E119&lt;=10,0.14*E119^(-0.64),IF(E119&lt;=20,0.04*E119^(-0.1),IF(E119&lt;=150,0.013*E119^(0.29),0.055))))</f>
        <v>0.0518548204012902</v>
      </c>
    </row>
    <row r="120" customFormat="false" ht="15" hidden="false" customHeight="true" outlineLevel="0" collapsed="false">
      <c r="A120" s="20" t="n">
        <v>0.006</v>
      </c>
      <c r="B120" s="21" t="n">
        <f aca="false">(A120^3*($J$2-$J$3)*$J$4/($J$3*$J$5^2))^(1/3)</f>
        <v>126.385807644674</v>
      </c>
      <c r="C120" s="21" t="n">
        <f aca="false">0.13*(B120^(-0.392))*EXP(-0.015*(B120^2))+0.045*(1-EXP(-0.068*B120))</f>
        <v>0.0449916673390336</v>
      </c>
      <c r="D120" s="21" t="n">
        <f aca="false">(B120^3*C120)^0.5</f>
        <v>301.379359834623</v>
      </c>
      <c r="E120" s="22" t="n">
        <v>119</v>
      </c>
      <c r="F120" s="23" t="n">
        <f aca="false">IF(E120&lt;=4,0.24*E120^(-1),IF(E120&lt;=10,0.14*E120^(-0.64),IF(E120&lt;=20,0.04*E120^(-0.1),IF(E120&lt;=150,0.013*E120^(0.29),0.055))))</f>
        <v>0.0519818786561511</v>
      </c>
    </row>
    <row r="121" customFormat="false" ht="15" hidden="false" customHeight="true" outlineLevel="0" collapsed="false">
      <c r="A121" s="20" t="n">
        <v>0.00605</v>
      </c>
      <c r="B121" s="21" t="n">
        <f aca="false">(A121^3*($J$2-$J$3)*$J$4/($J$3*$J$5^2))^(1/3)</f>
        <v>127.439022708379</v>
      </c>
      <c r="C121" s="21" t="n">
        <f aca="false">0.13*(B121^(-0.392))*EXP(-0.015*(B121^2))+0.045*(1-EXP(-0.068*B121))</f>
        <v>0.0449922432438524</v>
      </c>
      <c r="D121" s="21" t="n">
        <f aca="false">(B121^3*C121)^0.5</f>
        <v>305.156392407806</v>
      </c>
      <c r="E121" s="22" t="n">
        <v>120</v>
      </c>
      <c r="F121" s="23" t="n">
        <f aca="false">IF(E121&lt;=4,0.24*E121^(-1),IF(E121&lt;=10,0.14*E121^(-0.64),IF(E121&lt;=20,0.04*E121^(-0.1),IF(E121&lt;=150,0.013*E121^(0.29),0.055))))</f>
        <v>0.0521081810773348</v>
      </c>
    </row>
    <row r="122" customFormat="false" ht="15" hidden="false" customHeight="true" outlineLevel="0" collapsed="false">
      <c r="A122" s="20" t="n">
        <v>0.0061</v>
      </c>
      <c r="B122" s="21" t="n">
        <f aca="false">(A122^3*($J$2-$J$3)*$J$4/($J$3*$J$5^2))^(1/3)</f>
        <v>128.492237772085</v>
      </c>
      <c r="C122" s="21" t="n">
        <f aca="false">0.13*(B122^(-0.392))*EXP(-0.015*(B122^2))+0.045*(1-EXP(-0.068*B122))</f>
        <v>0.0449927793454965</v>
      </c>
      <c r="D122" s="21" t="n">
        <f aca="false">(B122^3*C122)^0.5</f>
        <v>308.948968744194</v>
      </c>
      <c r="E122" s="22" t="n">
        <v>121</v>
      </c>
      <c r="F122" s="23" t="n">
        <f aca="false">IF(E122&lt;=4,0.24*E122^(-1),IF(E122&lt;=10,0.14*E122^(-0.64),IF(E122&lt;=20,0.04*E122^(-0.1),IF(E122&lt;=150,0.013*E122^(0.29),0.055))))</f>
        <v>0.0522337384039196</v>
      </c>
    </row>
    <row r="123" customFormat="false" ht="15" hidden="false" customHeight="true" outlineLevel="0" collapsed="false">
      <c r="A123" s="20" t="n">
        <v>0.00615</v>
      </c>
      <c r="B123" s="21" t="n">
        <f aca="false">(A123^3*($J$2-$J$3)*$J$4/($J$3*$J$5^2))^(1/3)</f>
        <v>129.545452835791</v>
      </c>
      <c r="C123" s="21" t="n">
        <f aca="false">0.13*(B123^(-0.392))*EXP(-0.015*(B123^2))+0.045*(1-EXP(-0.068*B123))</f>
        <v>0.0449932783949286</v>
      </c>
      <c r="D123" s="21" t="n">
        <f aca="false">(B123^3*C123)^0.5</f>
        <v>312.757029456882</v>
      </c>
      <c r="E123" s="22" t="n">
        <v>122</v>
      </c>
      <c r="F123" s="23" t="n">
        <f aca="false">IF(E123&lt;=4,0.24*E123^(-1),IF(E123&lt;=10,0.14*E123^(-0.64),IF(E123&lt;=20,0.04*E123^(-0.1),IF(E123&lt;=150,0.013*E123^(0.29),0.055))))</f>
        <v>0.0523585611351609</v>
      </c>
    </row>
    <row r="124" customFormat="false" ht="15" hidden="false" customHeight="true" outlineLevel="0" collapsed="false">
      <c r="A124" s="20" t="n">
        <v>0.0062</v>
      </c>
      <c r="B124" s="21" t="n">
        <f aca="false">(A124^3*($J$2-$J$3)*$J$4/($J$3*$J$5^2))^(1/3)</f>
        <v>130.598667899496</v>
      </c>
      <c r="C124" s="21" t="n">
        <f aca="false">0.13*(B124^(-0.392))*EXP(-0.015*(B124^2))+0.045*(1-EXP(-0.068*B124))</f>
        <v>0.0449937429529812</v>
      </c>
      <c r="D124" s="21" t="n">
        <f aca="false">(B124^3*C124)^0.5</f>
        <v>316.580515698912</v>
      </c>
      <c r="E124" s="22" t="n">
        <v>123</v>
      </c>
      <c r="F124" s="23" t="n">
        <f aca="false">IF(E124&lt;=4,0.24*E124^(-1),IF(E124&lt;=10,0.14*E124^(-0.64),IF(E124&lt;=20,0.04*E124^(-0.1),IF(E124&lt;=150,0.013*E124^(0.29),0.055))))</f>
        <v>0.0524826595377634</v>
      </c>
    </row>
    <row r="125" customFormat="false" ht="15" hidden="false" customHeight="true" outlineLevel="0" collapsed="false">
      <c r="A125" s="20" t="n">
        <v>0.00625</v>
      </c>
      <c r="B125" s="21" t="n">
        <f aca="false">(A125^3*($J$2-$J$3)*$J$4/($J$3*$J$5^2))^(1/3)</f>
        <v>131.651882963202</v>
      </c>
      <c r="C125" s="21" t="n">
        <f aca="false">0.13*(B125^(-0.392))*EXP(-0.015*(B125^2))+0.045*(1-EXP(-0.068*B125))</f>
        <v>0.0449941754034966</v>
      </c>
      <c r="D125" s="21" t="n">
        <f aca="false">(B125^3*C125)^0.5</f>
        <v>320.41936915873</v>
      </c>
      <c r="E125" s="22" t="n">
        <v>124</v>
      </c>
      <c r="F125" s="23" t="n">
        <f aca="false">IF(E125&lt;=4,0.24*E125^(-1),IF(E125&lt;=10,0.14*E125^(-0.64),IF(E125&lt;=20,0.04*E125^(-0.1),IF(E125&lt;=150,0.013*E125^(0.29),0.055))))</f>
        <v>0.0526060436528756</v>
      </c>
    </row>
    <row r="126" customFormat="false" ht="15" hidden="false" customHeight="true" outlineLevel="0" collapsed="false">
      <c r="A126" s="20" t="n">
        <v>0.0063</v>
      </c>
      <c r="B126" s="21" t="n">
        <f aca="false">(A126^3*($J$2-$J$3)*$J$4/($J$3*$J$5^2))^(1/3)</f>
        <v>132.705098026908</v>
      </c>
      <c r="C126" s="21" t="n">
        <f aca="false">0.13*(B126^(-0.392))*EXP(-0.015*(B126^2))+0.045*(1-EXP(-0.068*B126))</f>
        <v>0.0449945779655602</v>
      </c>
      <c r="D126" s="21" t="n">
        <f aca="false">(B126^3*C126)^0.5</f>
        <v>324.273532055656</v>
      </c>
      <c r="E126" s="22" t="n">
        <v>125</v>
      </c>
      <c r="F126" s="23" t="n">
        <f aca="false">IF(E126&lt;=4,0.24*E126^(-1),IF(E126&lt;=10,0.14*E126^(-0.64),IF(E126&lt;=20,0.04*E126^(-0.1),IF(E126&lt;=150,0.013*E126^(0.29),0.055))))</f>
        <v>0.0527287233028187</v>
      </c>
    </row>
    <row r="127" customFormat="false" ht="15" hidden="false" customHeight="true" outlineLevel="0" collapsed="false">
      <c r="A127" s="20" t="n">
        <v>0.00635</v>
      </c>
      <c r="B127" s="21" t="n">
        <f aca="false">(A127^3*($J$2-$J$3)*$J$4/($J$3*$J$5^2))^(1/3)</f>
        <v>133.758313090613</v>
      </c>
      <c r="C127" s="21" t="n">
        <f aca="false">0.13*(B127^(-0.392))*EXP(-0.015*(B127^2))+0.045*(1-EXP(-0.068*B127))</f>
        <v>0.0449949527048871</v>
      </c>
      <c r="D127" s="21" t="n">
        <f aca="false">(B127^3*C127)^0.5</f>
        <v>328.142947135359</v>
      </c>
      <c r="E127" s="22" t="n">
        <v>126</v>
      </c>
      <c r="F127" s="23" t="n">
        <f aca="false">IF(E127&lt;=4,0.24*E127^(-1),IF(E127&lt;=10,0.14*E127^(-0.64),IF(E127&lt;=20,0.04*E127^(-0.1),IF(E127&lt;=150,0.013*E127^(0.29),0.055))))</f>
        <v>0.052850708097564</v>
      </c>
    </row>
    <row r="128" customFormat="false" ht="15" hidden="false" customHeight="true" outlineLevel="0" collapsed="false">
      <c r="A128" s="20" t="n">
        <v>0.0064</v>
      </c>
      <c r="B128" s="21" t="n">
        <f aca="false">(A128^3*($J$2-$J$3)*$J$4/($J$3*$J$5^2))^(1/3)</f>
        <v>134.811528154319</v>
      </c>
      <c r="C128" s="21" t="n">
        <f aca="false">0.13*(B128^(-0.392))*EXP(-0.015*(B128^2))+0.045*(1-EXP(-0.068*B128))</f>
        <v>0.0449953015444221</v>
      </c>
      <c r="D128" s="21" t="n">
        <f aca="false">(B128^3*C128)^0.5</f>
        <v>332.027557665331</v>
      </c>
      <c r="E128" s="22" t="n">
        <v>127</v>
      </c>
      <c r="F128" s="23" t="n">
        <f aca="false">IF(E128&lt;=4,0.24*E128^(-1),IF(E128&lt;=10,0.14*E128^(-0.64),IF(E128&lt;=20,0.04*E128^(-0.1),IF(E128&lt;=150,0.013*E128^(0.29),0.055))))</f>
        <v>0.0529720074409673</v>
      </c>
    </row>
    <row r="129" customFormat="false" ht="15" hidden="false" customHeight="true" outlineLevel="0" collapsed="false">
      <c r="A129" s="20" t="n">
        <v>0.00645</v>
      </c>
      <c r="B129" s="21" t="n">
        <f aca="false">(A129^3*($J$2-$J$3)*$J$4/($J$3*$J$5^2))^(1/3)</f>
        <v>135.864743218024</v>
      </c>
      <c r="C129" s="21" t="n">
        <f aca="false">0.13*(B129^(-0.392))*EXP(-0.015*(B129^2))+0.045*(1-EXP(-0.068*B129))</f>
        <v>0.0449956262742076</v>
      </c>
      <c r="D129" s="21" t="n">
        <f aca="false">(B129^3*C129)^0.5</f>
        <v>335.927307430358</v>
      </c>
      <c r="E129" s="22" t="n">
        <v>128</v>
      </c>
      <c r="F129" s="23" t="n">
        <f aca="false">IF(E129&lt;=4,0.24*E129^(-1),IF(E129&lt;=10,0.14*E129^(-0.64),IF(E129&lt;=20,0.04*E129^(-0.1),IF(E129&lt;=150,0.013*E129^(0.29),0.055))))</f>
        <v>0.053092630536774</v>
      </c>
    </row>
    <row r="130" customFormat="false" ht="15" hidden="false" customHeight="true" outlineLevel="0" collapsed="false">
      <c r="A130" s="20" t="n">
        <v>0.0065</v>
      </c>
      <c r="B130" s="21" t="n">
        <f aca="false">(A130^3*($J$2-$J$3)*$J$4/($J$3*$J$5^2))^(1/3)</f>
        <v>136.91795828173</v>
      </c>
      <c r="C130" s="21" t="n">
        <f aca="false">0.13*(B130^(-0.392))*EXP(-0.015*(B130^2))+0.045*(1-EXP(-0.068*B130))</f>
        <v>0.0449959285605685</v>
      </c>
      <c r="D130" s="21" t="n">
        <f aca="false">(B130^3*C130)^0.5</f>
        <v>339.842140727977</v>
      </c>
      <c r="E130" s="22" t="n">
        <v>129</v>
      </c>
      <c r="F130" s="23" t="n">
        <f aca="false">IF(E130&lt;=4,0.24*E130^(-1),IF(E130&lt;=10,0.14*E130^(-0.64),IF(E130&lt;=20,0.04*E130^(-0.1),IF(E130&lt;=150,0.013*E130^(0.29),0.055))))</f>
        <v>0.0532125863944032</v>
      </c>
    </row>
    <row r="131" customFormat="false" ht="15" hidden="false" customHeight="true" outlineLevel="0" collapsed="false">
      <c r="A131" s="20" t="n">
        <v>0.00655</v>
      </c>
      <c r="B131" s="21" t="n">
        <f aca="false">(A131^3*($J$2-$J$3)*$J$4/($J$3*$J$5^2))^(1/3)</f>
        <v>137.971173345436</v>
      </c>
      <c r="C131" s="21" t="n">
        <f aca="false">0.13*(B131^(-0.392))*EXP(-0.015*(B131^2))+0.045*(1-EXP(-0.068*B131))</f>
        <v>0.0449962099546631</v>
      </c>
      <c r="D131" s="21" t="n">
        <f aca="false">(B131^3*C131)^0.5</f>
        <v>343.772002363929</v>
      </c>
      <c r="E131" s="22" t="n">
        <v>130</v>
      </c>
      <c r="F131" s="23" t="n">
        <f aca="false">IF(E131&lt;=4,0.24*E131^(-1),IF(E131&lt;=10,0.14*E131^(-0.64),IF(E131&lt;=20,0.04*E131^(-0.1),IF(E131&lt;=150,0.013*E131^(0.29),0.055))))</f>
        <v>0.053331883834521</v>
      </c>
    </row>
    <row r="132" customFormat="false" ht="15" hidden="false" customHeight="true" outlineLevel="0" collapsed="false">
      <c r="A132" s="20" t="n">
        <v>0.0066</v>
      </c>
      <c r="B132" s="21" t="n">
        <f aca="false">(A132^3*($J$2-$J$3)*$J$4/($J$3*$J$5^2))^(1/3)</f>
        <v>139.024388409141</v>
      </c>
      <c r="C132" s="21" t="n">
        <f aca="false">0.13*(B132^(-0.392))*EXP(-0.015*(B132^2))+0.045*(1-EXP(-0.068*B132))</f>
        <v>0.0449964719004427</v>
      </c>
      <c r="D132" s="21" t="n">
        <f aca="false">(B132^3*C132)^0.5</f>
        <v>347.716837647586</v>
      </c>
      <c r="E132" s="22" t="n">
        <v>131</v>
      </c>
      <c r="F132" s="23" t="n">
        <f aca="false">IF(E132&lt;=4,0.24*E132^(-1),IF(E132&lt;=10,0.14*E132^(-0.64),IF(E132&lt;=20,0.04*E132^(-0.1),IF(E132&lt;=150,0.013*E132^(0.29),0.055))))</f>
        <v>0.0534505314944132</v>
      </c>
    </row>
    <row r="133" customFormat="false" ht="15" hidden="false" customHeight="true" outlineLevel="0" collapsed="false">
      <c r="A133" s="20" t="n">
        <v>0.00665</v>
      </c>
      <c r="B133" s="21" t="n">
        <f aca="false">(A133^3*($J$2-$J$3)*$J$4/($J$3*$J$5^2))^(1/3)</f>
        <v>140.077603472847</v>
      </c>
      <c r="C133" s="21" t="n">
        <f aca="false">0.13*(B133^(-0.392))*EXP(-0.015*(B133^2))+0.045*(1-EXP(-0.068*B133))</f>
        <v>0.0449967157420612</v>
      </c>
      <c r="D133" s="21" t="n">
        <f aca="false">(B133^3*C133)^0.5</f>
        <v>351.676592387376</v>
      </c>
      <c r="E133" s="22" t="n">
        <v>132</v>
      </c>
      <c r="F133" s="23" t="n">
        <f aca="false">IF(E133&lt;=4,0.24*E133^(-1),IF(E133&lt;=10,0.14*E133^(-0.64),IF(E133&lt;=20,0.04*E133^(-0.1),IF(E133&lt;=150,0.013*E133^(0.29),0.055))))</f>
        <v>0.0535685378331645</v>
      </c>
    </row>
    <row r="134" customFormat="false" ht="15" hidden="false" customHeight="true" outlineLevel="0" collapsed="false">
      <c r="A134" s="20" t="n">
        <v>0.0067</v>
      </c>
      <c r="B134" s="21" t="n">
        <f aca="false">(A134^3*($J$2-$J$3)*$J$4/($J$3*$J$5^2))^(1/3)</f>
        <v>141.130818536553</v>
      </c>
      <c r="C134" s="21" t="n">
        <f aca="false">0.13*(B134^(-0.392))*EXP(-0.015*(B134^2))+0.045*(1-EXP(-0.068*B134))</f>
        <v>0.0449969427307723</v>
      </c>
      <c r="D134" s="21" t="n">
        <f aca="false">(B134^3*C134)^0.5</f>
        <v>355.65121288618</v>
      </c>
      <c r="E134" s="22" t="n">
        <v>133</v>
      </c>
      <c r="F134" s="23" t="n">
        <f aca="false">IF(E134&lt;=4,0.24*E134^(-1),IF(E134&lt;=10,0.14*E134^(-0.64),IF(E134&lt;=20,0.04*E134^(-0.1),IF(E134&lt;=150,0.013*E134^(0.29),0.055))))</f>
        <v>0.0536859111366538</v>
      </c>
    </row>
    <row r="135" customFormat="false" ht="15" hidden="false" customHeight="true" outlineLevel="0" collapsed="false">
      <c r="A135" s="20" t="n">
        <v>0.00675</v>
      </c>
      <c r="B135" s="21" t="n">
        <f aca="false">(A135^3*($J$2-$J$3)*$J$4/($J$3*$J$5^2))^(1/3)</f>
        <v>142.184033600258</v>
      </c>
      <c r="C135" s="21" t="n">
        <f aca="false">0.13*(B135^(-0.392))*EXP(-0.015*(B135^2))+0.045*(1-EXP(-0.068*B135))</f>
        <v>0.0449971540313506</v>
      </c>
      <c r="D135" s="21" t="n">
        <f aca="false">(B135^3*C135)^0.5</f>
        <v>359.640645936725</v>
      </c>
      <c r="E135" s="22" t="n">
        <v>134</v>
      </c>
      <c r="F135" s="23" t="n">
        <f aca="false">IF(E135&lt;=4,0.24*E135^(-1),IF(E135&lt;=10,0.14*E135^(-0.64),IF(E135&lt;=20,0.04*E135^(-0.1),IF(E135&lt;=150,0.013*E135^(0.29),0.055))))</f>
        <v>0.053802659522373</v>
      </c>
    </row>
    <row r="136" customFormat="false" ht="15" hidden="false" customHeight="true" outlineLevel="0" collapsed="false">
      <c r="A136" s="20" t="n">
        <v>0.0068</v>
      </c>
      <c r="B136" s="21" t="n">
        <f aca="false">(A136^3*($J$2-$J$3)*$J$4/($J$3*$J$5^2))^(1/3)</f>
        <v>143.237248663964</v>
      </c>
      <c r="C136" s="21" t="n">
        <f aca="false">0.13*(B136^(-0.392))*EXP(-0.015*(B136^2))+0.045*(1-EXP(-0.068*B136))</f>
        <v>0.044997350728068</v>
      </c>
      <c r="D136" s="21" t="n">
        <f aca="false">(B136^3*C136)^0.5</f>
        <v>363.64483881695</v>
      </c>
      <c r="E136" s="22" t="n">
        <v>135</v>
      </c>
      <c r="F136" s="23" t="n">
        <f aca="false">IF(E136&lt;=4,0.24*E136^(-1),IF(E136&lt;=10,0.14*E136^(-0.64),IF(E136&lt;=20,0.04*E136^(-0.1),IF(E136&lt;=150,0.013*E136^(0.29),0.055))))</f>
        <v>0.0539187909440772</v>
      </c>
    </row>
    <row r="137" customFormat="false" ht="15" hidden="false" customHeight="true" outlineLevel="0" collapsed="false">
      <c r="A137" s="20" t="n">
        <v>0.00685</v>
      </c>
      <c r="B137" s="21" t="n">
        <f aca="false">(A137^3*($J$2-$J$3)*$J$4/($J$3*$J$5^2))^(1/3)</f>
        <v>144.290463727669</v>
      </c>
      <c r="C137" s="21" t="n">
        <f aca="false">0.13*(B137^(-0.392))*EXP(-0.015*(B137^2))+0.045*(1-EXP(-0.068*B137))</f>
        <v>0.0449975338302581</v>
      </c>
      <c r="D137" s="21" t="n">
        <f aca="false">(B137^3*C137)^0.5</f>
        <v>367.663739285367</v>
      </c>
      <c r="E137" s="22" t="n">
        <v>136</v>
      </c>
      <c r="F137" s="23" t="n">
        <f aca="false">IF(E137&lt;=4,0.24*E137^(-1),IF(E137&lt;=10,0.14*E137^(-0.64),IF(E137&lt;=20,0.04*E137^(-0.1),IF(E137&lt;=150,0.013*E137^(0.29),0.055))))</f>
        <v>0.0540343131962723</v>
      </c>
    </row>
    <row r="138" customFormat="false" ht="15" hidden="false" customHeight="true" outlineLevel="0" collapsed="false">
      <c r="A138" s="20" t="n">
        <v>0.0069</v>
      </c>
      <c r="B138" s="21" t="n">
        <f aca="false">(A138^3*($J$2-$J$3)*$J$4/($J$3*$J$5^2))^(1/3)</f>
        <v>145.343678791375</v>
      </c>
      <c r="C138" s="21" t="n">
        <f aca="false">0.13*(B138^(-0.392))*EXP(-0.015*(B138^2))+0.045*(1-EXP(-0.068*B138))</f>
        <v>0.0449977042774951</v>
      </c>
      <c r="D138" s="21" t="n">
        <f aca="false">(B138^3*C138)^0.5</f>
        <v>371.697295576399</v>
      </c>
      <c r="E138" s="22" t="n">
        <v>137</v>
      </c>
      <c r="F138" s="23" t="n">
        <f aca="false">IF(E138&lt;=4,0.24*E138^(-1),IF(E138&lt;=10,0.14*E138^(-0.64),IF(E138&lt;=20,0.04*E138^(-0.1),IF(E138&lt;=150,0.013*E138^(0.29),0.055))))</f>
        <v>0.0541492339185482</v>
      </c>
    </row>
    <row r="139" customFormat="false" ht="15" hidden="false" customHeight="true" outlineLevel="0" collapsed="false">
      <c r="A139" s="20" t="n">
        <v>0.00695</v>
      </c>
      <c r="B139" s="21" t="n">
        <f aca="false">(A139^3*($J$2-$J$3)*$J$4/($J$3*$J$5^2))^(1/3)</f>
        <v>146.396893855081</v>
      </c>
      <c r="C139" s="21" t="n">
        <f aca="false">0.13*(B139^(-0.392))*EXP(-0.015*(B139^2))+0.045*(1-EXP(-0.068*B139))</f>
        <v>0.0449978629444153</v>
      </c>
      <c r="D139" s="21" t="n">
        <f aca="false">(B139^3*C139)^0.5</f>
        <v>375.745456395715</v>
      </c>
      <c r="E139" s="22" t="n">
        <v>138</v>
      </c>
      <c r="F139" s="23" t="n">
        <f aca="false">IF(E139&lt;=4,0.24*E139^(-1),IF(E139&lt;=10,0.14*E139^(-0.64),IF(E139&lt;=20,0.04*E139^(-0.1),IF(E139&lt;=150,0.013*E139^(0.29),0.055))))</f>
        <v>0.0542635605997633</v>
      </c>
    </row>
    <row r="140" customFormat="false" ht="15" hidden="false" customHeight="true" outlineLevel="0" collapsed="false">
      <c r="A140" s="20" t="n">
        <v>0.007</v>
      </c>
      <c r="B140" s="21" t="n">
        <f aca="false">(A140^3*($J$2-$J$3)*$J$4/($J$3*$J$5^2))^(1/3)</f>
        <v>147.450108918786</v>
      </c>
      <c r="C140" s="21" t="n">
        <f aca="false">0.13*(B140^(-0.392))*EXP(-0.015*(B140^2))+0.045*(1-EXP(-0.068*B140))</f>
        <v>0.0449980106452055</v>
      </c>
      <c r="D140" s="21" t="n">
        <f aca="false">(B140^3*C140)^0.5</f>
        <v>379.808170915549</v>
      </c>
      <c r="E140" s="22" t="n">
        <v>139</v>
      </c>
      <c r="F140" s="23" t="n">
        <f aca="false">IF(E140&lt;=4,0.24*E140^(-1),IF(E140&lt;=10,0.14*E140^(-0.64),IF(E140&lt;=20,0.04*E140^(-0.1),IF(E140&lt;=150,0.013*E140^(0.29),0.055))))</f>
        <v>0.0543773005820865</v>
      </c>
    </row>
    <row r="141" customFormat="false" ht="15" hidden="false" customHeight="true" outlineLevel="0" collapsed="false">
      <c r="A141" s="20" t="n">
        <v>0.00705</v>
      </c>
      <c r="B141" s="21" t="n">
        <f aca="false">(A141^3*($J$2-$J$3)*$J$4/($J$3*$J$5^2))^(1/3)</f>
        <v>148.503323982492</v>
      </c>
      <c r="C141" s="21" t="n">
        <f aca="false">0.13*(B141^(-0.392))*EXP(-0.015*(B141^2))+0.045*(1-EXP(-0.068*B141))</f>
        <v>0.0449981481377805</v>
      </c>
      <c r="D141" s="21" t="n">
        <f aca="false">(B141^3*C141)^0.5</f>
        <v>383.885388770012</v>
      </c>
      <c r="E141" s="22" t="n">
        <v>140</v>
      </c>
      <c r="F141" s="23" t="n">
        <f aca="false">IF(E141&lt;=4,0.24*E141^(-1),IF(E141&lt;=10,0.14*E141^(-0.64),IF(E141&lt;=20,0.04*E141^(-0.1),IF(E141&lt;=150,0.013*E141^(0.29),0.055))))</f>
        <v>0.0544904610649023</v>
      </c>
    </row>
    <row r="142" customFormat="false" ht="15" hidden="false" customHeight="true" outlineLevel="0" collapsed="false">
      <c r="A142" s="20" t="n">
        <v>0.0071</v>
      </c>
      <c r="B142" s="21" t="n">
        <f aca="false">(A142^3*($J$2-$J$3)*$J$4/($J$3*$J$5^2))^(1/3)</f>
        <v>149.556539046197</v>
      </c>
      <c r="C142" s="21" t="n">
        <f aca="false">0.13*(B142^(-0.392))*EXP(-0.015*(B142^2))+0.045*(1-EXP(-0.068*B142))</f>
        <v>0.0449982761276724</v>
      </c>
      <c r="D142" s="21" t="n">
        <f aca="false">(B142^3*C142)^0.5</f>
        <v>387.977060050397</v>
      </c>
      <c r="E142" s="22" t="n">
        <v>141</v>
      </c>
      <c r="F142" s="23" t="n">
        <f aca="false">IF(E142&lt;=4,0.24*E142^(-1),IF(E142&lt;=10,0.14*E142^(-0.64),IF(E142&lt;=20,0.04*E142^(-0.1),IF(E142&lt;=150,0.013*E142^(0.29),0.055))))</f>
        <v>0.0546030491085857</v>
      </c>
    </row>
    <row r="143" customFormat="false" ht="15" hidden="false" customHeight="true" outlineLevel="0" collapsed="false">
      <c r="A143" s="20" t="n">
        <v>0.00715</v>
      </c>
      <c r="B143" s="21" t="n">
        <f aca="false">(A143^3*($J$2-$J$3)*$J$4/($J$3*$J$5^2))^(1/3)</f>
        <v>150.609754109903</v>
      </c>
      <c r="C143" s="21" t="n">
        <f aca="false">0.13*(B143^(-0.392))*EXP(-0.015*(B143^2))+0.045*(1-EXP(-0.068*B143))</f>
        <v>0.044998395271651</v>
      </c>
      <c r="D143" s="21" t="n">
        <f aca="false">(B143^3*C143)^0.5</f>
        <v>392.08313530048</v>
      </c>
      <c r="E143" s="22" t="n">
        <v>142</v>
      </c>
      <c r="F143" s="23" t="n">
        <f aca="false">IF(E143&lt;=4,0.24*E143^(-1),IF(E143&lt;=10,0.14*E143^(-0.64),IF(E143&lt;=20,0.04*E143^(-0.1),IF(E143&lt;=150,0.013*E143^(0.29),0.055))))</f>
        <v>0.05471507163815</v>
      </c>
    </row>
    <row r="144" customFormat="false" ht="15" hidden="false" customHeight="true" outlineLevel="0" collapsed="false">
      <c r="A144" s="20" t="n">
        <v>0.0072</v>
      </c>
      <c r="B144" s="21" t="n">
        <f aca="false">(A144^3*($J$2-$J$3)*$J$4/($J$3*$J$5^2))^(1/3)</f>
        <v>151.662969173609</v>
      </c>
      <c r="C144" s="21" t="n">
        <f aca="false">0.13*(B144^(-0.392))*EXP(-0.015*(B144^2))+0.045*(1-EXP(-0.068*B144))</f>
        <v>0.0449985061810943</v>
      </c>
      <c r="D144" s="21" t="n">
        <f aca="false">(B144^3*C144)^0.5</f>
        <v>396.203565511817</v>
      </c>
      <c r="E144" s="22" t="n">
        <v>143</v>
      </c>
      <c r="F144" s="23" t="n">
        <f aca="false">IF(E144&lt;=4,0.24*E144^(-1),IF(E144&lt;=10,0.14*E144^(-0.64),IF(E144&lt;=20,0.04*E144^(-0.1),IF(E144&lt;=150,0.013*E144^(0.29),0.055))))</f>
        <v>0.0548265354467751</v>
      </c>
    </row>
    <row r="145" customFormat="false" ht="15" hidden="false" customHeight="true" outlineLevel="0" collapsed="false">
      <c r="A145" s="20" t="n">
        <v>0.00725</v>
      </c>
      <c r="B145" s="21" t="n">
        <f aca="false">(A145^3*($J$2-$J$3)*$J$4/($J$3*$J$5^2))^(1/3)</f>
        <v>152.716184237314</v>
      </c>
      <c r="C145" s="21" t="n">
        <f aca="false">0.13*(B145^(-0.392))*EXP(-0.015*(B145^2))+0.045*(1-EXP(-0.068*B145))</f>
        <v>0.0449986094251252</v>
      </c>
      <c r="D145" s="21" t="n">
        <f aca="false">(B145^3*C145)^0.5</f>
        <v>400.338302119046</v>
      </c>
      <c r="E145" s="22" t="n">
        <v>144</v>
      </c>
      <c r="F145" s="23" t="n">
        <f aca="false">IF(E145&lt;=4,0.24*E145^(-1),IF(E145&lt;=10,0.14*E145^(-0.64),IF(E145&lt;=20,0.04*E145^(-0.1),IF(E145&lt;=150,0.013*E145^(0.29),0.055))))</f>
        <v>0.0549374471992195</v>
      </c>
    </row>
    <row r="146" customFormat="false" ht="15" hidden="false" customHeight="true" outlineLevel="0" collapsed="false">
      <c r="A146" s="20" t="n">
        <v>0.0073</v>
      </c>
      <c r="B146" s="21" t="n">
        <f aca="false">(A146^3*($J$2-$J$3)*$J$4/($J$3*$J$5^2))^(1/3)</f>
        <v>153.76939930102</v>
      </c>
      <c r="C146" s="21" t="n">
        <f aca="false">0.13*(B146^(-0.392))*EXP(-0.015*(B146^2))+0.045*(1-EXP(-0.068*B146))</f>
        <v>0.0449987055335322</v>
      </c>
      <c r="D146" s="21" t="n">
        <f aca="false">(B146^3*C146)^0.5</f>
        <v>404.487296995187</v>
      </c>
      <c r="E146" s="22" t="n">
        <v>145</v>
      </c>
      <c r="F146" s="23" t="n">
        <f aca="false">IF(E146&lt;=4,0.24*E146^(-1),IF(E146&lt;=10,0.14*E146^(-0.64),IF(E146&lt;=20,0.04*E146^(-0.1),IF(E146&lt;=150,0.013*E146^(0.29),0.055))))</f>
        <v>0.0550478134351204</v>
      </c>
    </row>
    <row r="147" customFormat="false" ht="15" hidden="false" customHeight="true" outlineLevel="0" collapsed="false">
      <c r="A147" s="20" t="n">
        <v>0.00735</v>
      </c>
      <c r="B147" s="21" t="n">
        <f aca="false">(A147^3*($J$2-$J$3)*$J$4/($J$3*$J$5^2))^(1/3)</f>
        <v>154.822614364725</v>
      </c>
      <c r="C147" s="21" t="n">
        <f aca="false">0.13*(B147^(-0.392))*EXP(-0.015*(B147^2))+0.045*(1-EXP(-0.068*B147))</f>
        <v>0.0449987949994879</v>
      </c>
      <c r="D147" s="21" t="n">
        <f aca="false">(B147^3*C147)^0.5</f>
        <v>408.650502446946</v>
      </c>
      <c r="E147" s="22" t="n">
        <v>146</v>
      </c>
      <c r="F147" s="23" t="n">
        <f aca="false">IF(E147&lt;=4,0.24*E147^(-1),IF(E147&lt;=10,0.14*E147^(-0.64),IF(E147&lt;=20,0.04*E147^(-0.1),IF(E147&lt;=150,0.013*E147^(0.29),0.055))))</f>
        <v>0.0551576405721878</v>
      </c>
    </row>
    <row r="148" customFormat="false" ht="15" hidden="false" customHeight="true" outlineLevel="0" collapsed="false">
      <c r="A148" s="20" t="n">
        <v>0.0074</v>
      </c>
      <c r="B148" s="21" t="n">
        <f aca="false">(A148^3*($J$2-$J$3)*$J$4/($J$3*$J$5^2))^(1/3)</f>
        <v>155.875829428431</v>
      </c>
      <c r="C148" s="21" t="n">
        <f aca="false">0.13*(B148^(-0.392))*EXP(-0.015*(B148^2))+0.045*(1-EXP(-0.068*B148))</f>
        <v>0.0449988782820796</v>
      </c>
      <c r="D148" s="21" t="n">
        <f aca="false">(B148^3*C148)^0.5</f>
        <v>412.82787121003</v>
      </c>
      <c r="E148" s="22" t="n">
        <v>147</v>
      </c>
      <c r="F148" s="23" t="n">
        <f aca="false">IF(E148&lt;=4,0.24*E148^(-1),IF(E148&lt;=10,0.14*E148^(-0.64),IF(E148&lt;=20,0.04*E148^(-0.1),IF(E148&lt;=150,0.013*E148^(0.29),0.055))))</f>
        <v>0.0552669349092951</v>
      </c>
    </row>
    <row r="149" customFormat="false" ht="15" hidden="false" customHeight="true" outlineLevel="0" collapsed="false">
      <c r="A149" s="20" t="n">
        <v>0.00745</v>
      </c>
      <c r="B149" s="21" t="n">
        <f aca="false">(A149^3*($J$2-$J$3)*$J$4/($J$3*$J$5^2))^(1/3)</f>
        <v>156.929044492137</v>
      </c>
      <c r="C149" s="21" t="n">
        <f aca="false">0.13*(B149^(-0.392))*EXP(-0.015*(B149^2))+0.045*(1-EXP(-0.068*B149))</f>
        <v>0.0449989558086655</v>
      </c>
      <c r="D149" s="21" t="n">
        <f aca="false">(B149^3*C149)^0.5</f>
        <v>417.01935644447</v>
      </c>
      <c r="E149" s="22" t="n">
        <v>148</v>
      </c>
      <c r="F149" s="23" t="n">
        <f aca="false">IF(E149&lt;=4,0.24*E149^(-1),IF(E149&lt;=10,0.14*E149^(-0.64),IF(E149&lt;=20,0.04*E149^(-0.1),IF(E149&lt;=150,0.013*E149^(0.29),0.055))))</f>
        <v>0.0553757026294713</v>
      </c>
    </row>
    <row r="150" customFormat="false" ht="15" hidden="false" customHeight="true" outlineLevel="0" collapsed="false">
      <c r="A150" s="20" t="n">
        <v>0.0075</v>
      </c>
      <c r="B150" s="21" t="n">
        <f aca="false">(A150^3*($J$2-$J$3)*$J$4/($J$3*$J$5^2))^(1/3)</f>
        <v>157.982259555842</v>
      </c>
      <c r="C150" s="21" t="n">
        <f aca="false">0.13*(B150^(-0.392))*EXP(-0.015*(B150^2))+0.045*(1-EXP(-0.068*B150))</f>
        <v>0.0449990279770669</v>
      </c>
      <c r="D150" s="21" t="n">
        <f aca="false">(B150^3*C150)^0.5</f>
        <v>421.224911729953</v>
      </c>
      <c r="E150" s="22" t="n">
        <v>149</v>
      </c>
      <c r="F150" s="23" t="n">
        <f aca="false">IF(E150&lt;=4,0.24*E150^(-1),IF(E150&lt;=10,0.14*E150^(-0.64),IF(E150&lt;=20,0.04*E150^(-0.1),IF(E150&lt;=150,0.013*E150^(0.29),0.055))))</f>
        <v>0.0554839498027977</v>
      </c>
    </row>
    <row r="151" customFormat="false" ht="15" hidden="false" customHeight="true" outlineLevel="0" collapsed="false">
      <c r="A151" s="20" t="n">
        <v>0.00755</v>
      </c>
      <c r="B151" s="21" t="n">
        <f aca="false">(A151^3*($J$2-$J$3)*$J$4/($J$3*$J$5^2))^(1/3)</f>
        <v>159.035474619548</v>
      </c>
      <c r="C151" s="21" t="n">
        <f aca="false">0.13*(B151^(-0.392))*EXP(-0.015*(B151^2))+0.045*(1-EXP(-0.068*B151))</f>
        <v>0.0449990951576102</v>
      </c>
      <c r="D151" s="21" t="n">
        <f aca="false">(B151^3*C151)^0.5</f>
        <v>425.444491061173</v>
      </c>
      <c r="E151" s="22" t="n">
        <v>150</v>
      </c>
      <c r="F151" s="23" t="n">
        <f aca="false">IF(E151&lt;=4,0.24*E151^(-1),IF(E151&lt;=10,0.14*E151^(-0.64),IF(E151&lt;=20,0.04*E151^(-0.1),IF(E151&lt;=150,0.013*E151^(0.29),0.055))))</f>
        <v>0.0555916823892142</v>
      </c>
    </row>
    <row r="152" customFormat="false" ht="15" hidden="false" customHeight="true" outlineLevel="0" collapsed="false">
      <c r="A152" s="20" t="n">
        <v>0.0076</v>
      </c>
      <c r="B152" s="21" t="n">
        <f aca="false">(A152^3*($J$2-$J$3)*$J$4/($J$3*$J$5^2))^(1/3)</f>
        <v>160.088689683254</v>
      </c>
      <c r="C152" s="21" t="n">
        <f aca="false">0.13*(B152^(-0.392))*EXP(-0.015*(B152^2))+0.045*(1-EXP(-0.068*B152))</f>
        <v>0.0449991576950271</v>
      </c>
      <c r="D152" s="21" t="n">
        <f aca="false">(B152^3*C152)^0.5</f>
        <v>429.678048843192</v>
      </c>
      <c r="E152" s="22" t="n">
        <v>151</v>
      </c>
      <c r="F152" s="23" t="n">
        <f aca="false">IF(E152&lt;=4,0.24*E152^(-1),IF(E152&lt;=10,0.14*E152^(-0.64),IF(E152&lt;=20,0.04*E152^(-0.1),IF(E152&lt;=150,0.013*E152^(0.29),0.055))))</f>
        <v>0.055</v>
      </c>
    </row>
    <row r="153" customFormat="false" ht="15" hidden="false" customHeight="true" outlineLevel="0" collapsed="false">
      <c r="A153" s="20" t="n">
        <v>0.00765</v>
      </c>
      <c r="B153" s="21" t="n">
        <f aca="false">(A153^3*($J$2-$J$3)*$J$4/($J$3*$J$5^2))^(1/3)</f>
        <v>161.141904746959</v>
      </c>
      <c r="C153" s="21" t="n">
        <f aca="false">0.13*(B153^(-0.392))*EXP(-0.015*(B153^2))+0.045*(1-EXP(-0.068*B153))</f>
        <v>0.0449992159102233</v>
      </c>
      <c r="D153" s="21" t="n">
        <f aca="false">(B153^3*C153)^0.5</f>
        <v>433.925539886828</v>
      </c>
      <c r="E153" s="22" t="n">
        <v>152</v>
      </c>
      <c r="F153" s="23" t="n">
        <f aca="false">IF(E153&lt;=4,0.24*E153^(-1),IF(E153&lt;=10,0.14*E153^(-0.64),IF(E153&lt;=20,0.04*E153^(-0.1),IF(E153&lt;=150,0.013*E153^(0.29),0.055))))</f>
        <v>0.055</v>
      </c>
    </row>
    <row r="154" customFormat="false" ht="15" hidden="false" customHeight="true" outlineLevel="0" collapsed="false">
      <c r="A154" s="20" t="n">
        <v>0.0077</v>
      </c>
      <c r="B154" s="21" t="n">
        <f aca="false">(A154^3*($J$2-$J$3)*$J$4/($J$3*$J$5^2))^(1/3)</f>
        <v>162.195119810665</v>
      </c>
      <c r="C154" s="21" t="n">
        <f aca="false">0.13*(B154^(-0.392))*EXP(-0.015*(B154^2))+0.045*(1-EXP(-0.068*B154))</f>
        <v>0.0449992701019254</v>
      </c>
      <c r="D154" s="21" t="n">
        <f aca="false">(B154^3*C154)^0.5</f>
        <v>438.186919404053</v>
      </c>
      <c r="E154" s="22" t="n">
        <v>153</v>
      </c>
      <c r="F154" s="23" t="n">
        <f aca="false">IF(E154&lt;=4,0.24*E154^(-1),IF(E154&lt;=10,0.14*E154^(-0.64),IF(E154&lt;=20,0.04*E154^(-0.1),IF(E154&lt;=150,0.013*E154^(0.29),0.055))))</f>
        <v>0.055</v>
      </c>
    </row>
    <row r="155" customFormat="false" ht="15" hidden="false" customHeight="true" outlineLevel="0" collapsed="false">
      <c r="A155" s="20" t="n">
        <v>0.00775</v>
      </c>
      <c r="B155" s="21" t="n">
        <f aca="false">(A155^3*($J$2-$J$3)*$J$4/($J$3*$J$5^2))^(1/3)</f>
        <v>163.24833487437</v>
      </c>
      <c r="C155" s="21" t="n">
        <f aca="false">0.13*(B155^(-0.392))*EXP(-0.015*(B155^2))+0.045*(1-EXP(-0.068*B155))</f>
        <v>0.0449993205482138</v>
      </c>
      <c r="D155" s="21" t="n">
        <f aca="false">(B155^3*C155)^0.5</f>
        <v>442.462143003419</v>
      </c>
      <c r="E155" s="22" t="n">
        <v>154</v>
      </c>
      <c r="F155" s="23" t="n">
        <f aca="false">IF(E155&lt;=4,0.24*E155^(-1),IF(E155&lt;=10,0.14*E155^(-0.64),IF(E155&lt;=20,0.04*E155^(-0.1),IF(E155&lt;=150,0.013*E155^(0.29),0.055))))</f>
        <v>0.055</v>
      </c>
    </row>
    <row r="156" customFormat="false" ht="15" hidden="false" customHeight="true" outlineLevel="0" collapsed="false">
      <c r="A156" s="20" t="n">
        <v>0.0078</v>
      </c>
      <c r="B156" s="21" t="n">
        <f aca="false">(A156^3*($J$2-$J$3)*$J$4/($J$3*$J$5^2))^(1/3)</f>
        <v>164.301549938076</v>
      </c>
      <c r="C156" s="21" t="n">
        <f aca="false">0.13*(B156^(-0.392))*EXP(-0.015*(B156^2))+0.045*(1-EXP(-0.068*B156))</f>
        <v>0.0449993675079496</v>
      </c>
      <c r="D156" s="21" t="n">
        <f aca="false">(B156^3*C156)^0.5</f>
        <v>446.751166685511</v>
      </c>
      <c r="E156" s="22" t="n">
        <v>155</v>
      </c>
      <c r="F156" s="23" t="n">
        <f aca="false">IF(E156&lt;=4,0.24*E156^(-1),IF(E156&lt;=10,0.14*E156^(-0.64),IF(E156&lt;=20,0.04*E156^(-0.1),IF(E156&lt;=150,0.013*E156^(0.29),0.055))))</f>
        <v>0.055</v>
      </c>
    </row>
    <row r="157" customFormat="false" ht="15" hidden="false" customHeight="true" outlineLevel="0" collapsed="false">
      <c r="A157" s="20" t="n">
        <v>0.00785</v>
      </c>
      <c r="B157" s="21" t="n">
        <f aca="false">(A157^3*($J$2-$J$3)*$J$4/($J$3*$J$5^2))^(1/3)</f>
        <v>165.354765001782</v>
      </c>
      <c r="C157" s="21" t="n">
        <f aca="false">0.13*(B157^(-0.392))*EXP(-0.015*(B157^2))+0.045*(1-EXP(-0.068*B157))</f>
        <v>0.044999411222103</v>
      </c>
      <c r="D157" s="21" t="n">
        <f aca="false">(B157^3*C157)^0.5</f>
        <v>451.053946838419</v>
      </c>
      <c r="E157" s="22" t="n">
        <v>156</v>
      </c>
      <c r="F157" s="23" t="n">
        <f aca="false">IF(E157&lt;=4,0.24*E157^(-1),IF(E157&lt;=10,0.14*E157^(-0.64),IF(E157&lt;=20,0.04*E157^(-0.1),IF(E157&lt;=150,0.013*E157^(0.29),0.055))))</f>
        <v>0.055</v>
      </c>
    </row>
    <row r="158" customFormat="false" ht="15" hidden="false" customHeight="true" outlineLevel="0" collapsed="false">
      <c r="A158" s="20" t="n">
        <v>0.0079</v>
      </c>
      <c r="B158" s="21" t="n">
        <f aca="false">(A158^3*($J$2-$J$3)*$J$4/($J$3*$J$5^2))^(1/3)</f>
        <v>166.407980065487</v>
      </c>
      <c r="C158" s="21" t="n">
        <f aca="false">0.13*(B158^(-0.392))*EXP(-0.015*(B158^2))+0.045*(1-EXP(-0.068*B158))</f>
        <v>0.0449994519149897</v>
      </c>
      <c r="D158" s="21" t="n">
        <f aca="false">(B158^3*C158)^0.5</f>
        <v>455.370440233243</v>
      </c>
      <c r="E158" s="22" t="n">
        <v>157</v>
      </c>
      <c r="F158" s="23" t="n">
        <f aca="false">IF(E158&lt;=4,0.24*E158^(-1),IF(E158&lt;=10,0.14*E158^(-0.64),IF(E158&lt;=20,0.04*E158^(-0.1),IF(E158&lt;=150,0.013*E158^(0.29),0.055))))</f>
        <v>0.055</v>
      </c>
    </row>
    <row r="159" customFormat="false" ht="15" hidden="false" customHeight="true" outlineLevel="0" collapsed="false">
      <c r="A159" s="20" t="n">
        <v>0.00795</v>
      </c>
      <c r="B159" s="21" t="n">
        <f aca="false">(A159^3*($J$2-$J$3)*$J$4/($J$3*$J$5^2))^(1/3)</f>
        <v>167.461195129193</v>
      </c>
      <c r="C159" s="21" t="n">
        <f aca="false">0.13*(B159^(-0.392))*EXP(-0.015*(B159^2))+0.045*(1-EXP(-0.068*B159))</f>
        <v>0.0449994897954218</v>
      </c>
      <c r="D159" s="21" t="n">
        <f aca="false">(B159^3*C159)^0.5</f>
        <v>459.700604019625</v>
      </c>
      <c r="E159" s="22" t="n">
        <v>158</v>
      </c>
      <c r="F159" s="23" t="n">
        <f aca="false">IF(E159&lt;=4,0.24*E159^(-1),IF(E159&lt;=10,0.14*E159^(-0.64),IF(E159&lt;=20,0.04*E159^(-0.1),IF(E159&lt;=150,0.013*E159^(0.29),0.055))))</f>
        <v>0.055</v>
      </c>
    </row>
    <row r="160" customFormat="false" ht="15" hidden="false" customHeight="true" outlineLevel="0" collapsed="false">
      <c r="A160" s="20" t="n">
        <v>0.008</v>
      </c>
      <c r="B160" s="21" t="n">
        <f aca="false">(A160^3*($J$2-$J$3)*$J$4/($J$3*$J$5^2))^(1/3)</f>
        <v>168.514410192898</v>
      </c>
      <c r="C160" s="21" t="n">
        <f aca="false">0.13*(B160^(-0.392))*EXP(-0.015*(B160^2))+0.045*(1-EXP(-0.068*B160))</f>
        <v>0.04499952505778</v>
      </c>
      <c r="D160" s="21" t="n">
        <f aca="false">(B160^3*C160)^0.5</f>
        <v>464.044395721314</v>
      </c>
      <c r="E160" s="22" t="n">
        <v>159</v>
      </c>
      <c r="F160" s="23" t="n">
        <f aca="false">IF(E160&lt;=4,0.24*E160^(-1),IF(E160&lt;=10,0.14*E160^(-0.64),IF(E160&lt;=20,0.04*E160^(-0.1),IF(E160&lt;=150,0.013*E160^(0.29),0.055))))</f>
        <v>0.055</v>
      </c>
    </row>
    <row r="161" customFormat="false" ht="15" hidden="false" customHeight="true" outlineLevel="0" collapsed="false">
      <c r="A161" s="20" t="n">
        <v>0.00805</v>
      </c>
      <c r="B161" s="21" t="n">
        <f aca="false">(A161^3*($J$2-$J$3)*$J$4/($J$3*$J$5^2))^(1/3)</f>
        <v>169.567625256604</v>
      </c>
      <c r="C161" s="21" t="n">
        <f aca="false">0.13*(B161^(-0.392))*EXP(-0.015*(B161^2))+0.045*(1-EXP(-0.068*B161))</f>
        <v>0.04499955788301</v>
      </c>
      <c r="D161" s="21" t="n">
        <f aca="false">(B161^3*C161)^0.5</f>
        <v>468.401773231761</v>
      </c>
      <c r="E161" s="22" t="n">
        <v>160</v>
      </c>
      <c r="F161" s="23" t="n">
        <f aca="false">IF(E161&lt;=4,0.24*E161^(-1),IF(E161&lt;=10,0.14*E161^(-0.64),IF(E161&lt;=20,0.04*E161^(-0.1),IF(E161&lt;=150,0.013*E161^(0.29),0.055))))</f>
        <v>0.055</v>
      </c>
    </row>
    <row r="162" customFormat="false" ht="15" hidden="false" customHeight="true" outlineLevel="0" collapsed="false">
      <c r="A162" s="20" t="n">
        <v>0.0081</v>
      </c>
      <c r="B162" s="21" t="n">
        <f aca="false">(A162^3*($J$2-$J$3)*$J$4/($J$3*$J$5^2))^(1/3)</f>
        <v>170.62084032031</v>
      </c>
      <c r="C162" s="21" t="n">
        <f aca="false">0.13*(B162^(-0.392))*EXP(-0.015*(B162^2))+0.045*(1-EXP(-0.068*B162))</f>
        <v>0.044999588439552</v>
      </c>
      <c r="D162" s="21" t="n">
        <f aca="false">(B162^3*C162)^0.5</f>
        <v>472.772694809746</v>
      </c>
      <c r="E162" s="22" t="n">
        <v>161</v>
      </c>
      <c r="F162" s="23" t="n">
        <f aca="false">IF(E162&lt;=4,0.24*E162^(-1),IF(E162&lt;=10,0.14*E162^(-0.64),IF(E162&lt;=20,0.04*E162^(-0.1),IF(E162&lt;=150,0.013*E162^(0.29),0.055))))</f>
        <v>0.055</v>
      </c>
    </row>
    <row r="163" customFormat="false" ht="15" hidden="false" customHeight="true" outlineLevel="0" collapsed="false">
      <c r="A163" s="20" t="n">
        <v>0.00815</v>
      </c>
      <c r="B163" s="21" t="n">
        <f aca="false">(A163^3*($J$2-$J$3)*$J$4/($J$3*$J$5^2))^(1/3)</f>
        <v>171.674055384015</v>
      </c>
      <c r="C163" s="21" t="n">
        <f aca="false">0.13*(B163^(-0.392))*EXP(-0.015*(B163^2))+0.045*(1-EXP(-0.068*B163))</f>
        <v>0.0449996168842045</v>
      </c>
      <c r="D163" s="21" t="n">
        <f aca="false">(B163^3*C163)^0.5</f>
        <v>477.15711907505</v>
      </c>
      <c r="E163" s="22" t="n">
        <v>162</v>
      </c>
      <c r="F163" s="23" t="n">
        <f aca="false">IF(E163&lt;=4,0.24*E163^(-1),IF(E163&lt;=10,0.14*E163^(-0.64),IF(E163&lt;=20,0.04*E163^(-0.1),IF(E163&lt;=150,0.013*E163^(0.29),0.055))))</f>
        <v>0.055</v>
      </c>
    </row>
    <row r="164" customFormat="false" ht="15" hidden="false" customHeight="true" outlineLevel="0" collapsed="false">
      <c r="A164" s="20" t="n">
        <v>0.0082</v>
      </c>
      <c r="B164" s="21" t="n">
        <f aca="false">(A164^3*($J$2-$J$3)*$J$4/($J$3*$J$5^2))^(1/3)</f>
        <v>172.727270447721</v>
      </c>
      <c r="C164" s="21" t="n">
        <f aca="false">0.13*(B164^(-0.392))*EXP(-0.015*(B164^2))+0.045*(1-EXP(-0.068*B164))</f>
        <v>0.0449996433629288</v>
      </c>
      <c r="D164" s="21" t="n">
        <f aca="false">(B164^3*C164)^0.5</f>
        <v>481.555005004149</v>
      </c>
      <c r="E164" s="22" t="n">
        <v>163</v>
      </c>
      <c r="F164" s="23" t="n">
        <f aca="false">IF(E164&lt;=4,0.24*E164^(-1),IF(E164&lt;=10,0.14*E164^(-0.64),IF(E164&lt;=20,0.04*E164^(-0.1),IF(E164&lt;=150,0.013*E164^(0.29),0.055))))</f>
        <v>0.055</v>
      </c>
    </row>
    <row r="165" customFormat="false" ht="15" hidden="false" customHeight="true" outlineLevel="0" collapsed="false">
      <c r="A165" s="20" t="n">
        <v>0.00825</v>
      </c>
      <c r="B165" s="21" t="n">
        <f aca="false">(A165^3*($J$2-$J$3)*$J$4/($J$3*$J$5^2))^(1/3)</f>
        <v>173.780485511427</v>
      </c>
      <c r="C165" s="21" t="n">
        <f aca="false">0.13*(B165^(-0.392))*EXP(-0.015*(B165^2))+0.045*(1-EXP(-0.068*B165))</f>
        <v>0.0449996680115985</v>
      </c>
      <c r="D165" s="21" t="n">
        <f aca="false">(B165^3*C165)^0.5</f>
        <v>485.966311925956</v>
      </c>
      <c r="E165" s="22" t="n">
        <v>164</v>
      </c>
      <c r="F165" s="23" t="n">
        <f aca="false">IF(E165&lt;=4,0.24*E165^(-1),IF(E165&lt;=10,0.14*E165^(-0.64),IF(E165&lt;=20,0.04*E165^(-0.1),IF(E165&lt;=150,0.013*E165^(0.29),0.055))))</f>
        <v>0.055</v>
      </c>
    </row>
    <row r="166" customFormat="false" ht="15" hidden="false" customHeight="true" outlineLevel="0" collapsed="false">
      <c r="A166" s="20" t="n">
        <v>0.0083</v>
      </c>
      <c r="B166" s="21" t="n">
        <f aca="false">(A166^3*($J$2-$J$3)*$J$4/($J$3*$J$5^2))^(1/3)</f>
        <v>174.833700575132</v>
      </c>
      <c r="C166" s="21" t="n">
        <f aca="false">0.13*(B166^(-0.392))*EXP(-0.015*(B166^2))+0.045*(1-EXP(-0.068*B166))</f>
        <v>0.0449996909566963</v>
      </c>
      <c r="D166" s="21" t="n">
        <f aca="false">(B166^3*C166)^0.5</f>
        <v>490.390999517596</v>
      </c>
      <c r="E166" s="22" t="n">
        <v>165</v>
      </c>
      <c r="F166" s="23" t="n">
        <f aca="false">IF(E166&lt;=4,0.24*E166^(-1),IF(E166&lt;=10,0.14*E166^(-0.64),IF(E166&lt;=20,0.04*E166^(-0.1),IF(E166&lt;=150,0.013*E166^(0.29),0.055))))</f>
        <v>0.055</v>
      </c>
    </row>
    <row r="167" customFormat="false" ht="15" hidden="false" customHeight="true" outlineLevel="0" collapsed="false">
      <c r="A167" s="20" t="n">
        <v>0.00835</v>
      </c>
      <c r="B167" s="21" t="n">
        <f aca="false">(A167^3*($J$2-$J$3)*$J$4/($J$3*$J$5^2))^(1/3)</f>
        <v>175.886915638838</v>
      </c>
      <c r="C167" s="21" t="n">
        <f aca="false">0.13*(B167^(-0.392))*EXP(-0.015*(B167^2))+0.045*(1-EXP(-0.068*B167))</f>
        <v>0.044999712315963</v>
      </c>
      <c r="D167" s="21" t="n">
        <f aca="false">(B167^3*C167)^0.5</f>
        <v>494.829027800223</v>
      </c>
      <c r="E167" s="22" t="n">
        <v>166</v>
      </c>
      <c r="F167" s="23" t="n">
        <f aca="false">IF(E167&lt;=4,0.24*E167^(-1),IF(E167&lt;=10,0.14*E167^(-0.64),IF(E167&lt;=20,0.04*E167^(-0.1),IF(E167&lt;=150,0.013*E167^(0.29),0.055))))</f>
        <v>0.055</v>
      </c>
    </row>
    <row r="168" customFormat="false" ht="15" hidden="false" customHeight="true" outlineLevel="0" collapsed="false">
      <c r="A168" s="20" t="n">
        <v>0.0084</v>
      </c>
      <c r="B168" s="21" t="n">
        <f aca="false">(A168^3*($J$2-$J$3)*$J$4/($J$3*$J$5^2))^(1/3)</f>
        <v>176.940130702543</v>
      </c>
      <c r="C168" s="21" t="n">
        <f aca="false">0.13*(B168^(-0.392))*EXP(-0.015*(B168^2))+0.045*(1-EXP(-0.068*B168))</f>
        <v>0.044999732199002</v>
      </c>
      <c r="D168" s="21" t="n">
        <f aca="false">(B168^3*C168)^0.5</f>
        <v>499.280357134877</v>
      </c>
      <c r="E168" s="22" t="n">
        <v>167</v>
      </c>
      <c r="F168" s="23" t="n">
        <f aca="false">IF(E168&lt;=4,0.24*E168^(-1),IF(E168&lt;=10,0.14*E168^(-0.64),IF(E168&lt;=20,0.04*E168^(-0.1),IF(E168&lt;=150,0.013*E168^(0.29),0.055))))</f>
        <v>0.055</v>
      </c>
    </row>
    <row r="169" customFormat="false" ht="15" hidden="false" customHeight="true" outlineLevel="0" collapsed="false">
      <c r="A169" s="20" t="n">
        <v>0.00845</v>
      </c>
      <c r="B169" s="21" t="n">
        <f aca="false">(A169^3*($J$2-$J$3)*$J$4/($J$3*$J$5^2))^(1/3)</f>
        <v>177.993345766249</v>
      </c>
      <c r="C169" s="21" t="n">
        <f aca="false">0.13*(B169^(-0.392))*EXP(-0.015*(B169^2))+0.045*(1-EXP(-0.068*B169))</f>
        <v>0.0449997507078416</v>
      </c>
      <c r="D169" s="21" t="n">
        <f aca="false">(B169^3*C169)^0.5</f>
        <v>503.744948218378</v>
      </c>
      <c r="E169" s="22" t="n">
        <v>168</v>
      </c>
      <c r="F169" s="23" t="n">
        <f aca="false">IF(E169&lt;=4,0.24*E169^(-1),IF(E169&lt;=10,0.14*E169^(-0.64),IF(E169&lt;=20,0.04*E169^(-0.1),IF(E169&lt;=150,0.013*E169^(0.29),0.055))))</f>
        <v>0.055</v>
      </c>
    </row>
    <row r="170" customFormat="false" ht="15" hidden="false" customHeight="true" outlineLevel="0" collapsed="false">
      <c r="A170" s="20" t="n">
        <v>0.0085</v>
      </c>
      <c r="B170" s="21" t="n">
        <f aca="false">(A170^3*($J$2-$J$3)*$J$4/($J$3*$J$5^2))^(1/3)</f>
        <v>179.046560829955</v>
      </c>
      <c r="C170" s="21" t="n">
        <f aca="false">0.13*(B170^(-0.392))*EXP(-0.015*(B170^2))+0.045*(1-EXP(-0.068*B170))</f>
        <v>0.0449997679374584</v>
      </c>
      <c r="D170" s="21" t="n">
        <f aca="false">(B170^3*C170)^0.5</f>
        <v>508.222762079268</v>
      </c>
      <c r="E170" s="22" t="n">
        <v>169</v>
      </c>
      <c r="F170" s="23" t="n">
        <f aca="false">IF(E170&lt;=4,0.24*E170^(-1),IF(E170&lt;=10,0.14*E170^(-0.64),IF(E170&lt;=20,0.04*E170^(-0.1),IF(E170&lt;=150,0.013*E170^(0.29),0.055))))</f>
        <v>0.055</v>
      </c>
    </row>
    <row r="171" customFormat="false" ht="15" hidden="false" customHeight="true" outlineLevel="0" collapsed="false">
      <c r="A171" s="20" t="n">
        <v>0.00855</v>
      </c>
      <c r="B171" s="21" t="n">
        <f aca="false">(A171^3*($J$2-$J$3)*$J$4/($J$3*$J$5^2))^(1/3)</f>
        <v>180.09977589366</v>
      </c>
      <c r="C171" s="21" t="n">
        <f aca="false">0.13*(B171^(-0.392))*EXP(-0.015*(B171^2))+0.045*(1-EXP(-0.068*B171))</f>
        <v>0.0449997839762648</v>
      </c>
      <c r="D171" s="21" t="n">
        <f aca="false">(B171^3*C171)^0.5</f>
        <v>512.713760073788</v>
      </c>
      <c r="E171" s="22" t="n">
        <v>170</v>
      </c>
      <c r="F171" s="23" t="n">
        <f aca="false">IF(E171&lt;=4,0.24*E171^(-1),IF(E171&lt;=10,0.14*E171^(-0.64),IF(E171&lt;=20,0.04*E171^(-0.1),IF(E171&lt;=150,0.013*E171^(0.29),0.055))))</f>
        <v>0.055</v>
      </c>
    </row>
    <row r="172" customFormat="false" ht="15" hidden="false" customHeight="true" outlineLevel="0" collapsed="false">
      <c r="A172" s="20" t="n">
        <v>0.0086</v>
      </c>
      <c r="B172" s="21" t="n">
        <f aca="false">(A172^3*($J$2-$J$3)*$J$4/($J$3*$J$5^2))^(1/3)</f>
        <v>181.152990957366</v>
      </c>
      <c r="C172" s="21" t="n">
        <f aca="false">0.13*(B172^(-0.392))*EXP(-0.015*(B172^2))+0.045*(1-EXP(-0.068*B172))</f>
        <v>0.0449997989065626</v>
      </c>
      <c r="D172" s="21" t="n">
        <f aca="false">(B172^3*C172)^0.5</f>
        <v>517.217903881905</v>
      </c>
      <c r="E172" s="22" t="n">
        <v>171</v>
      </c>
      <c r="F172" s="23" t="n">
        <f aca="false">IF(E172&lt;=4,0.24*E172^(-1),IF(E172&lt;=10,0.14*E172^(-0.64),IF(E172&lt;=20,0.04*E172^(-0.1),IF(E172&lt;=150,0.013*E172^(0.29),0.055))))</f>
        <v>0.055</v>
      </c>
    </row>
    <row r="173" customFormat="false" ht="15" hidden="false" customHeight="true" outlineLevel="0" collapsed="false">
      <c r="A173" s="20" t="n">
        <v>0.00865</v>
      </c>
      <c r="B173" s="21" t="n">
        <f aca="false">(A173^3*($J$2-$J$3)*$J$4/($J$3*$J$5^2))^(1/3)</f>
        <v>182.206206021071</v>
      </c>
      <c r="C173" s="21" t="n">
        <f aca="false">0.13*(B173^(-0.392))*EXP(-0.015*(B173^2))+0.045*(1-EXP(-0.068*B173))</f>
        <v>0.0449998128049656</v>
      </c>
      <c r="D173" s="21" t="n">
        <f aca="false">(B173^3*C173)^0.5</f>
        <v>521.735155503379</v>
      </c>
      <c r="E173" s="22" t="n">
        <v>172</v>
      </c>
      <c r="F173" s="23" t="n">
        <f aca="false">IF(E173&lt;=4,0.24*E173^(-1),IF(E173&lt;=10,0.14*E173^(-0.64),IF(E173&lt;=20,0.04*E173^(-0.1),IF(E173&lt;=150,0.013*E173^(0.29),0.055))))</f>
        <v>0.055</v>
      </c>
    </row>
    <row r="174" customFormat="false" ht="15" hidden="false" customHeight="true" outlineLevel="0" collapsed="false">
      <c r="A174" s="20" t="n">
        <v>0.0087</v>
      </c>
      <c r="B174" s="21" t="n">
        <f aca="false">(A174^3*($J$2-$J$3)*$J$4/($J$3*$J$5^2))^(1/3)</f>
        <v>183.259421084777</v>
      </c>
      <c r="C174" s="21" t="n">
        <f aca="false">0.13*(B174^(-0.392))*EXP(-0.015*(B174^2))+0.045*(1-EXP(-0.068*B174))</f>
        <v>0.0449998257427921</v>
      </c>
      <c r="D174" s="21" t="n">
        <f aca="false">(B174^3*C174)^0.5</f>
        <v>526.265477253871</v>
      </c>
      <c r="E174" s="22" t="n">
        <v>173</v>
      </c>
      <c r="F174" s="23" t="n">
        <f aca="false">IF(E174&lt;=4,0.24*E174^(-1),IF(E174&lt;=10,0.14*E174^(-0.64),IF(E174&lt;=20,0.04*E174^(-0.1),IF(E174&lt;=150,0.013*E174^(0.29),0.055))))</f>
        <v>0.055</v>
      </c>
    </row>
    <row r="175" customFormat="false" ht="15" hidden="false" customHeight="true" outlineLevel="0" collapsed="false">
      <c r="A175" s="20" t="n">
        <v>0.00875</v>
      </c>
      <c r="B175" s="21" t="n">
        <f aca="false">(A175^3*($J$2-$J$3)*$J$4/($J$3*$J$5^2))^(1/3)</f>
        <v>184.312636148483</v>
      </c>
      <c r="C175" s="21" t="n">
        <f aca="false">0.13*(B175^(-0.392))*EXP(-0.015*(B175^2))+0.045*(1-EXP(-0.068*B175))</f>
        <v>0.0449998377864317</v>
      </c>
      <c r="D175" s="21" t="n">
        <f aca="false">(B175^3*C175)^0.5</f>
        <v>530.808831761097</v>
      </c>
      <c r="E175" s="22" t="n">
        <v>174</v>
      </c>
      <c r="F175" s="23" t="n">
        <f aca="false">IF(E175&lt;=4,0.24*E175^(-1),IF(E175&lt;=10,0.14*E175^(-0.64),IF(E175&lt;=20,0.04*E175^(-0.1),IF(E175&lt;=150,0.013*E175^(0.29),0.055))))</f>
        <v>0.055</v>
      </c>
    </row>
    <row r="176" customFormat="false" ht="15" hidden="false" customHeight="true" outlineLevel="0" collapsed="false">
      <c r="A176" s="20" t="n">
        <v>0.0088</v>
      </c>
      <c r="B176" s="21" t="n">
        <f aca="false">(A176^3*($J$2-$J$3)*$J$4/($J$3*$J$5^2))^(1/3)</f>
        <v>185.365851212188</v>
      </c>
      <c r="C176" s="21" t="n">
        <f aca="false">0.13*(B176^(-0.392))*EXP(-0.015*(B176^2))+0.045*(1-EXP(-0.068*B176))</f>
        <v>0.0449998489976854</v>
      </c>
      <c r="D176" s="21" t="n">
        <f aca="false">(B176^3*C176)^0.5</f>
        <v>535.365181961031</v>
      </c>
      <c r="E176" s="22" t="n">
        <v>175</v>
      </c>
      <c r="F176" s="23" t="n">
        <f aca="false">IF(E176&lt;=4,0.24*E176^(-1),IF(E176&lt;=10,0.14*E176^(-0.64),IF(E176&lt;=20,0.04*E176^(-0.1),IF(E176&lt;=150,0.013*E176^(0.29),0.055))))</f>
        <v>0.055</v>
      </c>
    </row>
    <row r="177" customFormat="false" ht="15" hidden="false" customHeight="true" outlineLevel="0" collapsed="false">
      <c r="A177" s="20" t="n">
        <v>1</v>
      </c>
      <c r="B177" s="21" t="n">
        <f aca="false">(A177^3*($J$2-$J$3)*$J$4/($J$3*$J$5^2))^(1/3)</f>
        <v>21064.3012741123</v>
      </c>
      <c r="C177" s="21" t="n">
        <f aca="false">0.13*(B177^(-0.392))*EXP(-0.015*(B177^2))+0.045*(1-EXP(-0.068*B177))</f>
        <v>0.045</v>
      </c>
      <c r="D177" s="21" t="n">
        <f aca="false">(B177^3*C177)^0.5</f>
        <v>648525.180746134</v>
      </c>
      <c r="E177" s="22" t="n">
        <v>176</v>
      </c>
      <c r="F177" s="23" t="n">
        <f aca="false">IF(E177&lt;=4,0.24*E177^(-1),IF(E177&lt;=10,0.14*E177^(-0.64),IF(E177&lt;=20,0.04*E177^(-0.1),IF(E177&lt;=150,0.013*E177^(0.29),0.055))))</f>
        <v>0.055</v>
      </c>
    </row>
    <row r="178" customFormat="false" ht="15" hidden="false" customHeight="true" outlineLevel="0" collapsed="false">
      <c r="A178" s="20"/>
      <c r="B178" s="30"/>
      <c r="C178" s="30"/>
      <c r="D178" s="30"/>
      <c r="E178" s="22" t="n">
        <v>177</v>
      </c>
      <c r="F178" s="23" t="n">
        <f aca="false">IF(E178&lt;=4,0.24*E178^(-1),IF(E178&lt;=10,0.14*E178^(-0.64),IF(E178&lt;=20,0.04*E178^(-0.1),IF(E178&lt;=150,0.013*E178^(0.29),0.055))))</f>
        <v>0.055</v>
      </c>
    </row>
    <row r="179" customFormat="false" ht="15" hidden="false" customHeight="true" outlineLevel="0" collapsed="false">
      <c r="A179" s="20"/>
      <c r="B179" s="30"/>
      <c r="C179" s="30"/>
      <c r="D179" s="30"/>
      <c r="E179" s="22" t="n">
        <v>178</v>
      </c>
      <c r="F179" s="23" t="n">
        <f aca="false">IF(E179&lt;=4,0.24*E179^(-1),IF(E179&lt;=10,0.14*E179^(-0.64),IF(E179&lt;=20,0.04*E179^(-0.1),IF(E179&lt;=150,0.013*E179^(0.29),0.055))))</f>
        <v>0.055</v>
      </c>
    </row>
    <row r="180" customFormat="false" ht="15" hidden="false" customHeight="true" outlineLevel="0" collapsed="false">
      <c r="A180" s="20"/>
      <c r="B180" s="30"/>
      <c r="C180" s="30"/>
      <c r="D180" s="30"/>
      <c r="E180" s="22" t="n">
        <v>179</v>
      </c>
      <c r="F180" s="23" t="n">
        <f aca="false">IF(E180&lt;=4,0.24*E180^(-1),IF(E180&lt;=10,0.14*E180^(-0.64),IF(E180&lt;=20,0.04*E180^(-0.1),IF(E180&lt;=150,0.013*E180^(0.29),0.055))))</f>
        <v>0.055</v>
      </c>
    </row>
    <row r="181" customFormat="false" ht="15" hidden="false" customHeight="true" outlineLevel="0" collapsed="false">
      <c r="A181" s="20"/>
      <c r="B181" s="30"/>
      <c r="C181" s="30"/>
      <c r="D181" s="30"/>
      <c r="E181" s="22" t="n">
        <v>180</v>
      </c>
      <c r="F181" s="23" t="n">
        <f aca="false">IF(E181&lt;=4,0.24*E181^(-1),IF(E181&lt;=10,0.14*E181^(-0.64),IF(E181&lt;=20,0.04*E181^(-0.1),IF(E181&lt;=150,0.013*E181^(0.29),0.055))))</f>
        <v>0.055</v>
      </c>
    </row>
    <row r="182" customFormat="false" ht="15" hidden="false" customHeight="true" outlineLevel="0" collapsed="false">
      <c r="A182" s="20"/>
      <c r="B182" s="30"/>
      <c r="C182" s="30"/>
      <c r="D182" s="30"/>
      <c r="E182" s="22" t="n">
        <v>181</v>
      </c>
      <c r="F182" s="23" t="n">
        <f aca="false">IF(E182&lt;=4,0.24*E182^(-1),IF(E182&lt;=10,0.14*E182^(-0.64),IF(E182&lt;=20,0.04*E182^(-0.1),IF(E182&lt;=150,0.013*E182^(0.29),0.055))))</f>
        <v>0.055</v>
      </c>
    </row>
    <row r="183" customFormat="false" ht="15" hidden="false" customHeight="true" outlineLevel="0" collapsed="false">
      <c r="A183" s="20"/>
      <c r="B183" s="30"/>
      <c r="C183" s="30"/>
      <c r="D183" s="30"/>
      <c r="E183" s="22" t="n">
        <v>182</v>
      </c>
      <c r="F183" s="23" t="n">
        <f aca="false">IF(E183&lt;=4,0.24*E183^(-1),IF(E183&lt;=10,0.14*E183^(-0.64),IF(E183&lt;=20,0.04*E183^(-0.1),IF(E183&lt;=150,0.013*E183^(0.29),0.055))))</f>
        <v>0.055</v>
      </c>
    </row>
    <row r="184" customFormat="false" ht="15" hidden="false" customHeight="true" outlineLevel="0" collapsed="false">
      <c r="A184" s="20"/>
      <c r="B184" s="30"/>
      <c r="C184" s="30"/>
      <c r="D184" s="30"/>
      <c r="E184" s="22" t="n">
        <v>183</v>
      </c>
      <c r="F184" s="23" t="n">
        <f aca="false">IF(E184&lt;=4,0.24*E184^(-1),IF(E184&lt;=10,0.14*E184^(-0.64),IF(E184&lt;=20,0.04*E184^(-0.1),IF(E184&lt;=150,0.013*E184^(0.29),0.055))))</f>
        <v>0.055</v>
      </c>
    </row>
    <row r="185" customFormat="false" ht="15" hidden="false" customHeight="true" outlineLevel="0" collapsed="false">
      <c r="A185" s="20"/>
      <c r="B185" s="30"/>
      <c r="C185" s="30"/>
      <c r="D185" s="30"/>
      <c r="E185" s="22" t="n">
        <v>184</v>
      </c>
      <c r="F185" s="23" t="n">
        <f aca="false">IF(E185&lt;=4,0.24*E185^(-1),IF(E185&lt;=10,0.14*E185^(-0.64),IF(E185&lt;=20,0.04*E185^(-0.1),IF(E185&lt;=150,0.013*E185^(0.29),0.055))))</f>
        <v>0.055</v>
      </c>
    </row>
    <row r="186" customFormat="false" ht="15" hidden="false" customHeight="true" outlineLevel="0" collapsed="false">
      <c r="A186" s="20"/>
      <c r="B186" s="30"/>
      <c r="C186" s="30"/>
      <c r="D186" s="30"/>
      <c r="E186" s="22" t="n">
        <v>185</v>
      </c>
      <c r="F186" s="23" t="n">
        <f aca="false">IF(E186&lt;=4,0.24*E186^(-1),IF(E186&lt;=10,0.14*E186^(-0.64),IF(E186&lt;=20,0.04*E186^(-0.1),IF(E186&lt;=150,0.013*E186^(0.29),0.055))))</f>
        <v>0.055</v>
      </c>
    </row>
    <row r="187" customFormat="false" ht="15" hidden="false" customHeight="true" outlineLevel="0" collapsed="false">
      <c r="A187" s="20"/>
      <c r="B187" s="30"/>
      <c r="C187" s="30"/>
      <c r="D187" s="30"/>
      <c r="E187" s="22" t="n">
        <v>186</v>
      </c>
      <c r="F187" s="23" t="n">
        <f aca="false">IF(E187&lt;=4,0.24*E187^(-1),IF(E187&lt;=10,0.14*E187^(-0.64),IF(E187&lt;=20,0.04*E187^(-0.1),IF(E187&lt;=150,0.013*E187^(0.29),0.055))))</f>
        <v>0.055</v>
      </c>
    </row>
    <row r="188" customFormat="false" ht="15" hidden="false" customHeight="true" outlineLevel="0" collapsed="false">
      <c r="A188" s="20"/>
      <c r="B188" s="30"/>
      <c r="C188" s="30"/>
      <c r="D188" s="30"/>
      <c r="E188" s="22" t="n">
        <v>187</v>
      </c>
      <c r="F188" s="23" t="n">
        <f aca="false">IF(E188&lt;=4,0.24*E188^(-1),IF(E188&lt;=10,0.14*E188^(-0.64),IF(E188&lt;=20,0.04*E188^(-0.1),IF(E188&lt;=150,0.013*E188^(0.29),0.055))))</f>
        <v>0.055</v>
      </c>
    </row>
    <row r="189" customFormat="false" ht="15" hidden="false" customHeight="true" outlineLevel="0" collapsed="false">
      <c r="A189" s="20"/>
      <c r="B189" s="30"/>
      <c r="C189" s="30"/>
      <c r="D189" s="30"/>
      <c r="E189" s="22" t="n">
        <v>188</v>
      </c>
      <c r="F189" s="23" t="n">
        <f aca="false">IF(E189&lt;=4,0.24*E189^(-1),IF(E189&lt;=10,0.14*E189^(-0.64),IF(E189&lt;=20,0.04*E189^(-0.1),IF(E189&lt;=150,0.013*E189^(0.29),0.055))))</f>
        <v>0.055</v>
      </c>
    </row>
    <row r="190" customFormat="false" ht="15" hidden="false" customHeight="true" outlineLevel="0" collapsed="false">
      <c r="A190" s="20"/>
      <c r="B190" s="30"/>
      <c r="C190" s="30"/>
      <c r="D190" s="30"/>
      <c r="E190" s="22" t="n">
        <v>189</v>
      </c>
      <c r="F190" s="23" t="n">
        <f aca="false">IF(E190&lt;=4,0.24*E190^(-1),IF(E190&lt;=10,0.14*E190^(-0.64),IF(E190&lt;=20,0.04*E190^(-0.1),IF(E190&lt;=150,0.013*E190^(0.29),0.055))))</f>
        <v>0.055</v>
      </c>
    </row>
    <row r="191" customFormat="false" ht="15" hidden="false" customHeight="true" outlineLevel="0" collapsed="false">
      <c r="A191" s="20"/>
      <c r="B191" s="30"/>
      <c r="C191" s="30"/>
      <c r="D191" s="30"/>
      <c r="E191" s="22" t="n">
        <v>190</v>
      </c>
      <c r="F191" s="23" t="n">
        <f aca="false">IF(E191&lt;=4,0.24*E191^(-1),IF(E191&lt;=10,0.14*E191^(-0.64),IF(E191&lt;=20,0.04*E191^(-0.1),IF(E191&lt;=150,0.013*E191^(0.29),0.055))))</f>
        <v>0.055</v>
      </c>
    </row>
    <row r="192" customFormat="false" ht="15" hidden="false" customHeight="true" outlineLevel="0" collapsed="false">
      <c r="A192" s="20"/>
      <c r="B192" s="30"/>
      <c r="C192" s="30"/>
      <c r="D192" s="30"/>
      <c r="E192" s="22" t="n">
        <v>191</v>
      </c>
      <c r="F192" s="23" t="n">
        <f aca="false">IF(E192&lt;=4,0.24*E192^(-1),IF(E192&lt;=10,0.14*E192^(-0.64),IF(E192&lt;=20,0.04*E192^(-0.1),IF(E192&lt;=150,0.013*E192^(0.29),0.055))))</f>
        <v>0.055</v>
      </c>
    </row>
    <row r="193" customFormat="false" ht="15" hidden="false" customHeight="true" outlineLevel="0" collapsed="false">
      <c r="A193" s="20"/>
      <c r="B193" s="30"/>
      <c r="C193" s="30"/>
      <c r="D193" s="30"/>
      <c r="E193" s="22" t="n">
        <v>192</v>
      </c>
      <c r="F193" s="23" t="n">
        <f aca="false">IF(E193&lt;=4,0.24*E193^(-1),IF(E193&lt;=10,0.14*E193^(-0.64),IF(E193&lt;=20,0.04*E193^(-0.1),IF(E193&lt;=150,0.013*E193^(0.29),0.055))))</f>
        <v>0.055</v>
      </c>
    </row>
    <row r="194" customFormat="false" ht="15" hidden="false" customHeight="true" outlineLevel="0" collapsed="false">
      <c r="A194" s="20"/>
      <c r="B194" s="30"/>
      <c r="C194" s="30"/>
      <c r="D194" s="30"/>
      <c r="E194" s="22" t="n">
        <v>193</v>
      </c>
      <c r="F194" s="23" t="n">
        <f aca="false">IF(E194&lt;=4,0.24*E194^(-1),IF(E194&lt;=10,0.14*E194^(-0.64),IF(E194&lt;=20,0.04*E194^(-0.1),IF(E194&lt;=150,0.013*E194^(0.29),0.055))))</f>
        <v>0.055</v>
      </c>
    </row>
    <row r="195" customFormat="false" ht="15" hidden="false" customHeight="true" outlineLevel="0" collapsed="false">
      <c r="A195" s="30"/>
      <c r="B195" s="30"/>
      <c r="C195" s="30"/>
      <c r="D195" s="30"/>
      <c r="E195" s="22" t="n">
        <v>194</v>
      </c>
      <c r="F195" s="23" t="n">
        <f aca="false">IF(E195&lt;=4,0.24*E195^(-1),IF(E195&lt;=10,0.14*E195^(-0.64),IF(E195&lt;=20,0.04*E195^(-0.1),IF(E195&lt;=150,0.013*E195^(0.29),0.055))))</f>
        <v>0.055</v>
      </c>
    </row>
    <row r="196" customFormat="false" ht="15" hidden="false" customHeight="true" outlineLevel="0" collapsed="false">
      <c r="A196" s="30"/>
      <c r="B196" s="30"/>
      <c r="C196" s="30"/>
      <c r="D196" s="30"/>
      <c r="E196" s="22" t="n">
        <v>195</v>
      </c>
      <c r="F196" s="23" t="n">
        <f aca="false">IF(E196&lt;=4,0.24*E196^(-1),IF(E196&lt;=10,0.14*E196^(-0.64),IF(E196&lt;=20,0.04*E196^(-0.1),IF(E196&lt;=150,0.013*E196^(0.29),0.055))))</f>
        <v>0.055</v>
      </c>
    </row>
    <row r="197" customFormat="false" ht="15" hidden="false" customHeight="true" outlineLevel="0" collapsed="false">
      <c r="A197" s="30"/>
      <c r="B197" s="30"/>
      <c r="C197" s="30"/>
      <c r="D197" s="30"/>
      <c r="E197" s="22" t="n">
        <v>196</v>
      </c>
      <c r="F197" s="23" t="n">
        <f aca="false">IF(E197&lt;=4,0.24*E197^(-1),IF(E197&lt;=10,0.14*E197^(-0.64),IF(E197&lt;=20,0.04*E197^(-0.1),IF(E197&lt;=150,0.013*E197^(0.29),0.055))))</f>
        <v>0.055</v>
      </c>
    </row>
    <row r="198" customFormat="false" ht="15" hidden="false" customHeight="true" outlineLevel="0" collapsed="false">
      <c r="A198" s="30"/>
      <c r="B198" s="30"/>
      <c r="C198" s="30"/>
      <c r="D198" s="30"/>
      <c r="E198" s="22" t="n">
        <v>197</v>
      </c>
      <c r="F198" s="23" t="n">
        <f aca="false">IF(E198&lt;=4,0.24*E198^(-1),IF(E198&lt;=10,0.14*E198^(-0.64),IF(E198&lt;=20,0.04*E198^(-0.1),IF(E198&lt;=150,0.013*E198^(0.29),0.055))))</f>
        <v>0.055</v>
      </c>
    </row>
    <row r="199" customFormat="false" ht="15" hidden="false" customHeight="true" outlineLevel="0" collapsed="false">
      <c r="A199" s="30"/>
      <c r="B199" s="30"/>
      <c r="C199" s="30"/>
      <c r="D199" s="30"/>
      <c r="E199" s="22" t="n">
        <v>198</v>
      </c>
      <c r="F199" s="23" t="n">
        <f aca="false">IF(E199&lt;=4,0.24*E199^(-1),IF(E199&lt;=10,0.14*E199^(-0.64),IF(E199&lt;=20,0.04*E199^(-0.1),IF(E199&lt;=150,0.013*E199^(0.29),0.055))))</f>
        <v>0.055</v>
      </c>
    </row>
    <row r="200" customFormat="false" ht="15" hidden="false" customHeight="true" outlineLevel="0" collapsed="false">
      <c r="A200" s="30"/>
      <c r="B200" s="30"/>
      <c r="C200" s="30"/>
      <c r="D200" s="30"/>
      <c r="E200" s="22" t="n">
        <v>199</v>
      </c>
      <c r="F200" s="23" t="n">
        <f aca="false">IF(E200&lt;=4,0.24*E200^(-1),IF(E200&lt;=10,0.14*E200^(-0.64),IF(E200&lt;=20,0.04*E200^(-0.1),IF(E200&lt;=150,0.013*E200^(0.29),0.055))))</f>
        <v>0.055</v>
      </c>
    </row>
    <row r="201" customFormat="false" ht="15" hidden="false" customHeight="true" outlineLevel="0" collapsed="false">
      <c r="A201" s="30"/>
      <c r="B201" s="30"/>
      <c r="C201" s="30"/>
      <c r="D201" s="30"/>
      <c r="E201" s="22" t="n">
        <v>200</v>
      </c>
      <c r="F201" s="23" t="n">
        <f aca="false">IF(E201&lt;=4,0.24*E201^(-1),IF(E201&lt;=10,0.14*E201^(-0.64),IF(E201&lt;=20,0.04*E201^(-0.1),IF(E201&lt;=150,0.013*E201^(0.29),0.055))))</f>
        <v>0.055</v>
      </c>
    </row>
    <row r="202" customFormat="false" ht="15" hidden="false" customHeight="true" outlineLevel="0" collapsed="false">
      <c r="A202" s="30"/>
      <c r="B202" s="30"/>
      <c r="C202" s="30"/>
      <c r="D202" s="30"/>
      <c r="E202" s="22" t="n">
        <v>1000</v>
      </c>
      <c r="F202" s="23" t="n">
        <f aca="false">IF(E202&lt;=4,0.24*E202^(-1),IF(E202&lt;=10,0.14*E202^(-0.64),IF(E202&lt;=20,0.04*E202^(-0.1),IF(E202&lt;=150,0.013*E202^(0.29),0.055))))</f>
        <v>0.055</v>
      </c>
    </row>
    <row r="203" customFormat="false" ht="15" hidden="false" customHeight="true" outlineLevel="0" collapsed="false">
      <c r="A203" s="30"/>
      <c r="B203" s="30"/>
      <c r="C203" s="30"/>
      <c r="D203" s="30"/>
      <c r="E203" s="22" t="n">
        <v>10000</v>
      </c>
      <c r="F203" s="23" t="n">
        <f aca="false">IF(E203&lt;=4,0.24*E203^(-1),IF(E203&lt;=10,0.14*E203^(-0.64),IF(E203&lt;=20,0.04*E203^(-0.1),IF(E203&lt;=150,0.013*E203^(0.29),0.055))))</f>
        <v>0.055</v>
      </c>
    </row>
  </sheetData>
  <mergeCells count="2">
    <mergeCell ref="H7:U7"/>
    <mergeCell ref="H8:U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LibreOffice/7.3.7.2$Linux_X86_64 LibreOffice_project/30$Build-2</Application>
  <AppVersion>15.0000</AppVersion>
  <Company>ATTENTION: hors EPFL = volé !!!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1996-09-24T14:01:40Z</dcterms:created>
  <dc:creator>Dubois-Lazaro</dc:creator>
  <dc:description/>
  <dc:language>en-US</dc:language>
  <cp:lastModifiedBy/>
  <dcterms:modified xsi:type="dcterms:W3CDTF">2023-10-10T11:36:23Z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